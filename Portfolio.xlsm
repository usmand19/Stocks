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Usman\Desktop\Git Repos\Stocks2\"/>
    </mc:Choice>
  </mc:AlternateContent>
  <xr:revisionPtr revIDLastSave="0" documentId="13_ncr:1_{106C122E-D40C-4C0C-82BA-241AB20C34C9}" xr6:coauthVersionLast="45" xr6:coauthVersionMax="45" xr10:uidLastSave="{00000000-0000-0000-0000-000000000000}"/>
  <bookViews>
    <workbookView xWindow="-18600" yWindow="1968" windowWidth="18600" windowHeight="10080" activeTab="1" xr2:uid="{6DF809D9-8B84-44DC-A2DE-632647F724B8}"/>
  </bookViews>
  <sheets>
    <sheet name="Dashboard" sheetId="2" r:id="rId1"/>
    <sheet name="Portfolio" sheetId="1" r:id="rId2"/>
    <sheet name="Watchlist" sheetId="4" r:id="rId3"/>
    <sheet name="Backend" sheetId="6" state="hidden" r:id="rId4"/>
    <sheet name="Charts" sheetId="3" state="hidden" r:id="rId5"/>
  </sheets>
  <definedNames>
    <definedName name="ExternalData_1" localSheetId="3" hidden="1">Backend!$A$3:$C$13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4" l="1" a="1"/>
  <c r="C9" i="4" s="1"/>
  <c r="D9" i="4" a="1"/>
  <c r="D9" i="4" s="1"/>
  <c r="E9" i="4" a="1"/>
  <c r="E9" i="4" s="1"/>
  <c r="F9" i="4" a="1"/>
  <c r="F9" i="4" s="1"/>
  <c r="G9" i="4" a="1"/>
  <c r="G9" i="4" s="1"/>
  <c r="H9" i="4" a="1"/>
  <c r="H9" i="4" s="1"/>
  <c r="I9" i="4" a="1"/>
  <c r="I9" i="4" s="1"/>
  <c r="J9" i="4" a="1"/>
  <c r="J9" i="4" s="1"/>
  <c r="K9" i="4" a="1"/>
  <c r="K9" i="4" s="1"/>
  <c r="C8" i="4" a="1"/>
  <c r="C8" i="4" s="1"/>
  <c r="D8" i="4" a="1"/>
  <c r="D8" i="4" s="1"/>
  <c r="E8" i="4" a="1"/>
  <c r="E8" i="4" s="1"/>
  <c r="F8" i="4" a="1"/>
  <c r="F8" i="4" s="1"/>
  <c r="G8" i="4" a="1"/>
  <c r="G8" i="4" s="1"/>
  <c r="H8" i="4" a="1"/>
  <c r="H8" i="4" s="1"/>
  <c r="I8" i="4" a="1"/>
  <c r="I8" i="4" s="1"/>
  <c r="J8" i="4" a="1"/>
  <c r="J8" i="4" s="1"/>
  <c r="K8" i="4" a="1"/>
  <c r="K8" i="4" s="1"/>
  <c r="C7" i="4" a="1"/>
  <c r="C7" i="4" s="1"/>
  <c r="D7" i="4" a="1"/>
  <c r="D7" i="4" s="1"/>
  <c r="E7" i="4" a="1"/>
  <c r="E7" i="4" s="1"/>
  <c r="F7" i="4" a="1"/>
  <c r="F7" i="4" s="1"/>
  <c r="G7" i="4" a="1"/>
  <c r="G7" i="4" s="1"/>
  <c r="H7" i="4" a="1"/>
  <c r="H7" i="4" s="1"/>
  <c r="I7" i="4" a="1"/>
  <c r="I7" i="4" s="1"/>
  <c r="J7" i="4" a="1"/>
  <c r="J7" i="4" s="1"/>
  <c r="K7" i="4" a="1"/>
  <c r="K7" i="4" s="1"/>
  <c r="C6" i="4" a="1"/>
  <c r="C6" i="4" s="1"/>
  <c r="D6" i="4" a="1"/>
  <c r="D6" i="4" s="1"/>
  <c r="E6" i="4" a="1"/>
  <c r="E6" i="4" s="1"/>
  <c r="F6" i="4" a="1"/>
  <c r="F6" i="4" s="1"/>
  <c r="G6" i="4" a="1"/>
  <c r="G6" i="4" s="1"/>
  <c r="H6" i="4" a="1"/>
  <c r="H6" i="4" s="1"/>
  <c r="I6" i="4" a="1"/>
  <c r="I6" i="4" s="1"/>
  <c r="J6" i="4" a="1"/>
  <c r="J6" i="4" s="1"/>
  <c r="K6" i="4" a="1"/>
  <c r="K6" i="4" s="1"/>
  <c r="C5" i="4" a="1"/>
  <c r="C5" i="4" s="1"/>
  <c r="D5" i="4" a="1"/>
  <c r="D5" i="4" s="1"/>
  <c r="E5" i="4" a="1"/>
  <c r="E5" i="4" s="1"/>
  <c r="F5" i="4" a="1"/>
  <c r="F5" i="4" s="1"/>
  <c r="G5" i="4" a="1"/>
  <c r="G5" i="4" s="1"/>
  <c r="H5" i="4" a="1"/>
  <c r="H5" i="4" s="1"/>
  <c r="I5" i="4" a="1"/>
  <c r="I5" i="4" s="1"/>
  <c r="J5" i="4" a="1"/>
  <c r="J5" i="4" s="1"/>
  <c r="K5" i="4" a="1"/>
  <c r="K5" i="4" s="1"/>
  <c r="D4" i="4" a="1"/>
  <c r="D4" i="4" s="1"/>
  <c r="K4" i="4" a="1"/>
  <c r="K4" i="4" s="1"/>
  <c r="J4" i="4" a="1"/>
  <c r="J4" i="4" s="1"/>
  <c r="I4" i="4" a="1"/>
  <c r="I4" i="4" s="1"/>
  <c r="H6" i="1" l="1" a="1"/>
  <c r="H6" i="1" s="1"/>
  <c r="H7" i="1" a="1"/>
  <c r="H7" i="1" s="1"/>
  <c r="H8" i="1" a="1"/>
  <c r="H8" i="1" s="1"/>
  <c r="H9" i="1" a="1"/>
  <c r="H9" i="1" s="1"/>
  <c r="H10" i="1" a="1"/>
  <c r="H10" i="1" s="1"/>
  <c r="H11" i="1" a="1"/>
  <c r="H11" i="1" s="1"/>
  <c r="H12" i="1" a="1"/>
  <c r="H12" i="1" s="1"/>
  <c r="F12" i="1" a="1"/>
  <c r="F12" i="1" s="1"/>
  <c r="L12" i="1"/>
  <c r="F11" i="1" a="1"/>
  <c r="F11" i="1" s="1"/>
  <c r="L11" i="1"/>
  <c r="F10" i="1" a="1"/>
  <c r="F10" i="1" s="1"/>
  <c r="L10" i="1"/>
  <c r="F9" i="1" a="1"/>
  <c r="F9" i="1" s="1"/>
  <c r="G9" i="1" a="1"/>
  <c r="G9" i="1" s="1"/>
  <c r="E9" i="1"/>
  <c r="L9" i="1"/>
  <c r="F2" i="1"/>
  <c r="G6" i="1" s="1" a="1"/>
  <c r="G6" i="1" s="1"/>
  <c r="I6" i="1" s="1"/>
  <c r="F8" i="1" a="1"/>
  <c r="F8" i="1" s="1"/>
  <c r="L8" i="1"/>
  <c r="G7" i="1" a="1"/>
  <c r="G7" i="1" s="1"/>
  <c r="F7" i="1" a="1"/>
  <c r="F7" i="1" s="1"/>
  <c r="L7" i="1"/>
  <c r="F6" i="1" a="1"/>
  <c r="F6" i="1" s="1"/>
  <c r="C4" i="4" a="1"/>
  <c r="C4" i="4" s="1"/>
  <c r="H4" i="4" a="1"/>
  <c r="H4" i="4" s="1"/>
  <c r="G4" i="4" a="1"/>
  <c r="G4" i="4" s="1"/>
  <c r="F4" i="4" a="1"/>
  <c r="F4" i="4" s="1"/>
  <c r="E4" i="4" a="1"/>
  <c r="E4" i="4" s="1"/>
  <c r="E8" i="1" l="1"/>
  <c r="E10" i="1"/>
  <c r="E12" i="1"/>
  <c r="E11" i="1"/>
  <c r="E6" i="1"/>
  <c r="K6" i="1" s="1"/>
  <c r="G8" i="1" a="1"/>
  <c r="G8" i="1" s="1"/>
  <c r="G10" i="1" a="1"/>
  <c r="G10" i="1" s="1"/>
  <c r="I10" i="1" s="1"/>
  <c r="G11" i="1" a="1"/>
  <c r="G11" i="1" s="1"/>
  <c r="I11" i="1" s="1"/>
  <c r="G12" i="1" a="1"/>
  <c r="G12" i="1" s="1"/>
  <c r="I12" i="1" s="1"/>
  <c r="I9" i="1"/>
  <c r="K9" i="1" s="1"/>
  <c r="I7" i="1"/>
  <c r="C3" i="3" a="1"/>
  <c r="C3" i="3" s="1"/>
  <c r="C2" i="3"/>
  <c r="L6" i="1"/>
  <c r="K11" i="1" l="1"/>
  <c r="K10" i="1"/>
  <c r="K12" i="1"/>
  <c r="J9" i="1"/>
  <c r="J11" i="1"/>
  <c r="J10" i="1"/>
  <c r="J12" i="1"/>
  <c r="J6" i="1"/>
  <c r="I8" i="1"/>
  <c r="K8" i="1" s="1"/>
  <c r="J8" i="1" l="1"/>
  <c r="D2" i="1"/>
  <c r="E7" i="1"/>
  <c r="K7" i="1" s="1"/>
  <c r="B2" i="1" l="1"/>
  <c r="C2" i="1" s="1"/>
  <c r="J7"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226F855-BE16-478C-A5EF-0197EADCAB66}" keepAlive="1" interval="30" name="Query - Canadian Dollar Exchange Rates Table Converter" description="Connection to the 'Canadian Dollar Exchange Rates Table Converter' query in the workbook." type="5" refreshedVersion="6" background="1" refreshOnLoad="1" saveData="1">
    <dbPr connection="Provider=Microsoft.Mashup.OleDb.1;Data Source=$Workbook$;Location=Canadian Dollar Exchange Rates Table Converter;Extended Properties=&quot;&quot;" command="SELECT * FROM [Canadian Dollar Exchange Rates Table Converter]"/>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1">
    <bk>
      <extLst>
        <ext uri="{3e2802c4-a4d2-4d8b-9148-e3be6c30e623}">
          <xlrd:rvb i="6"/>
        </ext>
      </extLst>
    </bk>
    <bk>
      <extLst>
        <ext uri="{3e2802c4-a4d2-4d8b-9148-e3be6c30e623}">
          <xlrd:rvb i="9"/>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9"/>
        </ext>
      </extLst>
    </bk>
    <bk>
      <extLst>
        <ext uri="{3e2802c4-a4d2-4d8b-9148-e3be6c30e623}">
          <xlrd:rvb i="46"/>
        </ext>
      </extLst>
    </bk>
    <bk>
      <extLst>
        <ext uri="{3e2802c4-a4d2-4d8b-9148-e3be6c30e623}">
          <xlrd:rvb i="52"/>
        </ext>
      </extLst>
    </bk>
  </futureMetadata>
  <cellMetadata count="1">
    <bk>
      <rc t="1" v="0"/>
    </bk>
  </cellMetadata>
  <valueMetadata count="11">
    <bk>
      <rc t="2" v="0"/>
    </bk>
    <bk>
      <rc t="2" v="1"/>
    </bk>
    <bk>
      <rc t="2" v="2"/>
    </bk>
    <bk>
      <rc t="2" v="3"/>
    </bk>
    <bk>
      <rc t="2" v="4"/>
    </bk>
    <bk>
      <rc t="2" v="5"/>
    </bk>
    <bk>
      <rc t="2" v="6"/>
    </bk>
    <bk>
      <rc t="2" v="7"/>
    </bk>
    <bk>
      <rc t="2" v="8"/>
    </bk>
    <bk>
      <rc t="2" v="9"/>
    </bk>
    <bk>
      <rc t="2" v="10"/>
    </bk>
  </valueMetadata>
</metadata>
</file>

<file path=xl/sharedStrings.xml><?xml version="1.0" encoding="utf-8"?>
<sst xmlns="http://schemas.openxmlformats.org/spreadsheetml/2006/main" count="63" uniqueCount="53">
  <si>
    <t>TICKER</t>
  </si>
  <si>
    <t># SHARES</t>
  </si>
  <si>
    <t>COST</t>
  </si>
  <si>
    <t>CURRENT VALUE [CAD]</t>
  </si>
  <si>
    <t>CURRENT PRICE [CAD]</t>
  </si>
  <si>
    <t>PROFIT/LOSS [CAD]</t>
  </si>
  <si>
    <t>TOTAL</t>
  </si>
  <si>
    <t>PROFIT/LOSS</t>
  </si>
  <si>
    <t>SYMBOL</t>
  </si>
  <si>
    <t>VALUE</t>
  </si>
  <si>
    <t>Note: Columns with green headers fill automatically</t>
  </si>
  <si>
    <t>Stock</t>
  </si>
  <si>
    <t>Interval</t>
  </si>
  <si>
    <t>Weekly</t>
  </si>
  <si>
    <t>Start Date DD/MM/YYYY</t>
  </si>
  <si>
    <t>End Date DD/MM/YYYY</t>
  </si>
  <si>
    <t>02/03/1997</t>
  </si>
  <si>
    <t>02/02/2021</t>
  </si>
  <si>
    <t>CURRENT VALUE [USD]</t>
  </si>
  <si>
    <t>CURRENCY</t>
  </si>
  <si>
    <t>CURRNT PRICE [USD]</t>
  </si>
  <si>
    <t>CAD</t>
  </si>
  <si>
    <t>USD</t>
  </si>
  <si>
    <t>COST [CAD]</t>
  </si>
  <si>
    <t>Canadian Dollar</t>
  </si>
  <si>
    <t>1.00 CAD</t>
  </si>
  <si>
    <t>inv. 1.00 CAD</t>
  </si>
  <si>
    <t>US Dollar</t>
  </si>
  <si>
    <t>Euro</t>
  </si>
  <si>
    <t>British Pound</t>
  </si>
  <si>
    <t>Indian Rupee</t>
  </si>
  <si>
    <t>Australian Dollar</t>
  </si>
  <si>
    <t>Singapore Dollar</t>
  </si>
  <si>
    <t>Swiss Franc</t>
  </si>
  <si>
    <t>Malaysian Ringgit</t>
  </si>
  <si>
    <t>Japanese Yen</t>
  </si>
  <si>
    <t>Chinese Yuan Renminbi</t>
  </si>
  <si>
    <t>CONVERSION RATES (30 MIN REFRESH)</t>
  </si>
  <si>
    <t>CAD-&gt;USD CONVERSION RATE</t>
  </si>
  <si>
    <t>AVG PRICE</t>
  </si>
  <si>
    <t>AVG. VOLUME</t>
  </si>
  <si>
    <t>YIELD</t>
  </si>
  <si>
    <t>VOLUME</t>
  </si>
  <si>
    <t>MARKET CAP</t>
  </si>
  <si>
    <t>52 WEEK LOW</t>
  </si>
  <si>
    <t>GROUP</t>
  </si>
  <si>
    <t>PRICE</t>
  </si>
  <si>
    <t>PREVIOUS CLOSE</t>
  </si>
  <si>
    <t>Dips</t>
  </si>
  <si>
    <t>Potential Buy</t>
  </si>
  <si>
    <t>Technology</t>
  </si>
  <si>
    <t>52W HIGH</t>
  </si>
  <si>
    <t>PROFIT/LOSS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</si>
</sst>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quot;$&quot;* #,##0.00_-;_-&quot;$&quot;* &quot;-&quot;??_-;_-@_-"/>
    <numFmt numFmtId="168" formatCode="_([$$-409]* #,##0.00_);_([$$-409]* \(#,##0.00\);_([$$-409]* &quot;-&quot;??_);_(@_)"/>
    <numFmt numFmtId="169" formatCode="&quot;$&quot;#,##0.00"/>
    <numFmt numFmtId="170" formatCode="0.000"/>
  </numFmts>
  <fonts count="9" x14ac:knownFonts="1">
    <font>
      <sz val="11"/>
      <color theme="1"/>
      <name val="Calibri"/>
      <family val="2"/>
      <scheme val="minor"/>
    </font>
    <font>
      <sz val="8"/>
      <name val="Calibri"/>
      <family val="2"/>
      <scheme val="minor"/>
    </font>
    <font>
      <sz val="11"/>
      <color theme="1"/>
      <name val="Daytona Pro Light"/>
      <family val="2"/>
    </font>
    <font>
      <sz val="14"/>
      <color theme="1"/>
      <name val="Daytona Pro Light"/>
      <family val="2"/>
    </font>
    <font>
      <sz val="11"/>
      <color theme="0"/>
      <name val="Daytona Pro Light"/>
      <family val="2"/>
    </font>
    <font>
      <sz val="9"/>
      <color theme="1"/>
      <name val="Daytona"/>
      <family val="2"/>
    </font>
    <font>
      <b/>
      <sz val="11"/>
      <color theme="0"/>
      <name val="Daytona Pro Light"/>
      <family val="2"/>
    </font>
    <font>
      <b/>
      <sz val="14"/>
      <color theme="0"/>
      <name val="Daytona Pro Light"/>
      <family val="2"/>
    </font>
    <font>
      <sz val="12"/>
      <color theme="1"/>
      <name val="Calibri"/>
      <family val="2"/>
      <scheme val="minor"/>
    </font>
  </fonts>
  <fills count="7">
    <fill>
      <patternFill patternType="none"/>
    </fill>
    <fill>
      <patternFill patternType="gray125"/>
    </fill>
    <fill>
      <patternFill patternType="solid">
        <fgColor theme="6" tint="-0.499984740745262"/>
        <bgColor indexed="64"/>
      </patternFill>
    </fill>
    <fill>
      <patternFill patternType="solid">
        <fgColor theme="4"/>
        <bgColor indexed="64"/>
      </patternFill>
    </fill>
    <fill>
      <patternFill patternType="solid">
        <fgColor theme="4"/>
        <bgColor theme="4"/>
      </patternFill>
    </fill>
    <fill>
      <patternFill patternType="solid">
        <fgColor theme="6" tint="0.79998168889431442"/>
        <bgColor indexed="64"/>
      </patternFill>
    </fill>
    <fill>
      <patternFill patternType="solid">
        <fgColor theme="4" tint="0.79998168889431442"/>
        <bgColor indexed="64"/>
      </patternFill>
    </fill>
  </fills>
  <borders count="5">
    <border>
      <left/>
      <right/>
      <top/>
      <bottom/>
      <diagonal/>
    </border>
    <border>
      <left/>
      <right style="thin">
        <color theme="6" tint="-0.499984740745262"/>
      </right>
      <top style="thin">
        <color theme="6" tint="-0.499984740745262"/>
      </top>
      <bottom style="thin">
        <color theme="6" tint="-0.499984740745262"/>
      </bottom>
      <diagonal/>
    </border>
    <border>
      <left style="thin">
        <color theme="6" tint="-0.499984740745262"/>
      </left>
      <right/>
      <top style="thin">
        <color theme="6" tint="-0.499984740745262"/>
      </top>
      <bottom style="thin">
        <color theme="6" tint="-0.499984740745262"/>
      </bottom>
      <diagonal/>
    </border>
    <border>
      <left/>
      <right/>
      <top style="thin">
        <color theme="6" tint="-0.499984740745262"/>
      </top>
      <bottom style="thin">
        <color theme="6" tint="-0.499984740745262"/>
      </bottom>
      <diagonal/>
    </border>
    <border>
      <left style="thin">
        <color theme="4"/>
      </left>
      <right/>
      <top style="thin">
        <color theme="4"/>
      </top>
      <bottom/>
      <diagonal/>
    </border>
  </borders>
  <cellStyleXfs count="1">
    <xf numFmtId="0" fontId="0" fillId="0" borderId="0"/>
  </cellStyleXfs>
  <cellXfs count="40">
    <xf numFmtId="0" fontId="0" fillId="0" borderId="0" xfId="0"/>
    <xf numFmtId="0" fontId="0" fillId="0" borderId="0" xfId="0" applyAlignment="1">
      <alignment horizontal="center" vertical="center" wrapText="1"/>
    </xf>
    <xf numFmtId="0" fontId="4" fillId="3" borderId="0" xfId="0" applyFont="1" applyFill="1" applyAlignment="1">
      <alignment horizontal="center" vertical="center"/>
    </xf>
    <xf numFmtId="0" fontId="2" fillId="0" borderId="0" xfId="0" applyFont="1" applyAlignment="1">
      <alignment horizontal="center" vertical="center"/>
    </xf>
    <xf numFmtId="0" fontId="2" fillId="0" borderId="0" xfId="0" applyFont="1" applyAlignment="1">
      <alignment horizontal="center" vertical="center" wrapText="1"/>
    </xf>
    <xf numFmtId="0" fontId="2" fillId="2" borderId="0" xfId="0" applyFont="1" applyFill="1" applyAlignment="1">
      <alignment horizontal="center" vertical="center" wrapText="1"/>
    </xf>
    <xf numFmtId="0" fontId="2" fillId="2" borderId="0" xfId="0" applyFont="1" applyFill="1" applyAlignment="1">
      <alignment horizontal="center" vertical="center"/>
    </xf>
    <xf numFmtId="0" fontId="5" fillId="0" borderId="0" xfId="0" applyFont="1" applyAlignment="1">
      <alignment horizontal="left"/>
    </xf>
    <xf numFmtId="0" fontId="5" fillId="0" borderId="0" xfId="0" applyFont="1" applyAlignment="1">
      <alignment horizontal="center"/>
    </xf>
    <xf numFmtId="0" fontId="6" fillId="4" borderId="4" xfId="0" applyFont="1" applyFill="1" applyBorder="1" applyAlignment="1">
      <alignment horizontal="center" vertical="center"/>
    </xf>
    <xf numFmtId="0" fontId="0" fillId="0" borderId="0" xfId="0" applyAlignment="1">
      <alignment horizontal="center" vertical="center"/>
    </xf>
    <xf numFmtId="2" fontId="3" fillId="0" borderId="0" xfId="0" applyNumberFormat="1" applyFont="1" applyAlignment="1">
      <alignment horizontal="center" vertical="center"/>
    </xf>
    <xf numFmtId="0" fontId="0" fillId="0" borderId="0" xfId="0" applyNumberFormat="1"/>
    <xf numFmtId="170" fontId="3" fillId="0" borderId="0" xfId="0" applyNumberFormat="1" applyFont="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left" vertical="center"/>
    </xf>
    <xf numFmtId="0" fontId="6" fillId="2" borderId="0" xfId="0" applyFont="1" applyFill="1" applyAlignment="1">
      <alignment horizontal="center" vertical="center"/>
    </xf>
    <xf numFmtId="0" fontId="2" fillId="6" borderId="0" xfId="0" applyFont="1" applyFill="1" applyAlignment="1">
      <alignment horizontal="left"/>
    </xf>
    <xf numFmtId="1" fontId="2" fillId="6" borderId="0" xfId="0" applyNumberFormat="1" applyFont="1" applyFill="1" applyAlignment="1">
      <alignment horizontal="center"/>
    </xf>
    <xf numFmtId="44" fontId="2" fillId="6" borderId="0" xfId="0" applyNumberFormat="1" applyFont="1" applyFill="1" applyAlignment="1">
      <alignment horizontal="center"/>
    </xf>
    <xf numFmtId="168" fontId="2" fillId="5" borderId="3" xfId="0" applyNumberFormat="1" applyFont="1" applyFill="1" applyBorder="1" applyAlignment="1">
      <alignment horizontal="center"/>
    </xf>
    <xf numFmtId="168" fontId="2" fillId="5" borderId="2" xfId="0" applyNumberFormat="1" applyFont="1" applyFill="1" applyBorder="1" applyAlignment="1">
      <alignment horizontal="center"/>
    </xf>
    <xf numFmtId="168" fontId="2" fillId="5" borderId="1" xfId="0" applyNumberFormat="1" applyFont="1" applyFill="1" applyBorder="1" applyAlignment="1">
      <alignment horizontal="center"/>
    </xf>
    <xf numFmtId="0" fontId="2" fillId="6" borderId="0" xfId="0" applyFont="1" applyFill="1" applyBorder="1" applyAlignment="1">
      <alignment horizontal="left"/>
    </xf>
    <xf numFmtId="1" fontId="2" fillId="6" borderId="0" xfId="0" applyNumberFormat="1" applyFont="1" applyFill="1" applyBorder="1" applyAlignment="1">
      <alignment horizontal="center"/>
    </xf>
    <xf numFmtId="44" fontId="2" fillId="6" borderId="0" xfId="0" applyNumberFormat="1" applyFont="1" applyFill="1" applyBorder="1" applyAlignment="1">
      <alignment horizontal="center"/>
    </xf>
    <xf numFmtId="0" fontId="0" fillId="0" borderId="0" xfId="0" applyAlignment="1">
      <alignment horizontal="left"/>
    </xf>
    <xf numFmtId="168" fontId="0" fillId="5" borderId="3" xfId="0" applyNumberFormat="1" applyFill="1" applyBorder="1" applyAlignment="1">
      <alignment horizontal="center" vertical="center"/>
    </xf>
    <xf numFmtId="10" fontId="0" fillId="0" borderId="3" xfId="0" applyNumberFormat="1" applyBorder="1" applyAlignment="1">
      <alignment horizontal="center" vertical="center"/>
    </xf>
    <xf numFmtId="169" fontId="0" fillId="5" borderId="3" xfId="0" applyNumberFormat="1" applyFill="1" applyBorder="1" applyAlignment="1">
      <alignment horizontal="center" vertical="center"/>
    </xf>
    <xf numFmtId="3" fontId="0" fillId="5" borderId="3" xfId="0" applyNumberFormat="1" applyFill="1" applyBorder="1" applyAlignment="1">
      <alignment horizontal="center" vertical="center"/>
    </xf>
    <xf numFmtId="169" fontId="2" fillId="5" borderId="3" xfId="0" applyNumberFormat="1" applyFont="1" applyFill="1" applyBorder="1" applyAlignment="1">
      <alignment horizontal="center"/>
    </xf>
    <xf numFmtId="10" fontId="2" fillId="5" borderId="3" xfId="0" applyNumberFormat="1" applyFont="1" applyFill="1" applyBorder="1" applyAlignment="1">
      <alignment horizontal="center"/>
    </xf>
    <xf numFmtId="0" fontId="6" fillId="2" borderId="0" xfId="0" applyFont="1" applyFill="1" applyAlignment="1">
      <alignment horizontal="center" vertical="center"/>
    </xf>
    <xf numFmtId="170" fontId="3" fillId="0" borderId="0" xfId="0" applyNumberFormat="1" applyFont="1" applyAlignment="1">
      <alignment horizontal="center" vertical="center" wrapText="1"/>
    </xf>
    <xf numFmtId="0" fontId="7" fillId="2" borderId="0" xfId="0" applyFont="1" applyFill="1" applyAlignment="1">
      <alignment horizontal="center" vertical="center"/>
    </xf>
    <xf numFmtId="0" fontId="3" fillId="2" borderId="0" xfId="0" applyFont="1" applyFill="1" applyAlignment="1">
      <alignment horizontal="center" vertical="center"/>
    </xf>
    <xf numFmtId="2" fontId="3" fillId="0" borderId="0" xfId="0" applyNumberFormat="1" applyFont="1" applyAlignment="1">
      <alignment horizontal="center" vertical="center"/>
    </xf>
    <xf numFmtId="0" fontId="3" fillId="0" borderId="0" xfId="0" applyFont="1" applyAlignment="1">
      <alignment horizontal="center" vertical="center"/>
    </xf>
    <xf numFmtId="0" fontId="8" fillId="0" borderId="0" xfId="0" applyFont="1" applyAlignment="1">
      <alignment horizontal="center" vertical="center"/>
    </xf>
  </cellXfs>
  <cellStyles count="1">
    <cellStyle name="Normal" xfId="0" builtinId="0"/>
  </cellStyles>
  <dxfs count="38">
    <dxf>
      <numFmt numFmtId="0" formatCode="General"/>
    </dxf>
    <dxf>
      <numFmt numFmtId="3" formatCode="#,##0"/>
      <fill>
        <patternFill patternType="solid">
          <fgColor indexed="64"/>
          <bgColor theme="6" tint="0.79998168889431442"/>
        </patternFill>
      </fill>
      <alignment horizontal="center" vertical="center" textRotation="0" wrapText="0" indent="0" justifyLastLine="0" shrinkToFit="0" readingOrder="0"/>
    </dxf>
    <dxf>
      <numFmt numFmtId="3" formatCode="#,##0"/>
      <fill>
        <patternFill patternType="solid">
          <fgColor indexed="64"/>
          <bgColor theme="6" tint="0.79998168889431442"/>
        </patternFill>
      </fill>
      <alignment horizontal="center" vertical="center" textRotation="0" wrapText="0" indent="0" justifyLastLine="0" shrinkToFit="0" readingOrder="0"/>
    </dxf>
    <dxf>
      <numFmt numFmtId="169" formatCode="&quot;$&quot;#,##0.00"/>
      <fill>
        <patternFill patternType="solid">
          <fgColor indexed="64"/>
          <bgColor theme="6" tint="0.79998168889431442"/>
        </patternFill>
      </fill>
      <alignment horizontal="center" vertical="center" textRotation="0" wrapText="0" indent="0" justifyLastLine="0" shrinkToFit="0" readingOrder="0"/>
    </dxf>
    <dxf>
      <numFmt numFmtId="169" formatCode="&quot;$&quot;#,##0.00"/>
      <fill>
        <patternFill patternType="solid">
          <fgColor indexed="64"/>
          <bgColor theme="6" tint="0.79998168889431442"/>
        </patternFill>
      </fill>
      <alignment horizontal="center" vertical="center" textRotation="0" wrapText="0" indent="0" justifyLastLine="0" shrinkToFit="0" readingOrder="0"/>
    </dxf>
    <dxf>
      <numFmt numFmtId="169" formatCode="&quot;$&quot;#,##0.00"/>
      <fill>
        <patternFill patternType="solid">
          <fgColor indexed="64"/>
          <bgColor theme="6" tint="0.79998168889431442"/>
        </patternFill>
      </fill>
      <alignment horizontal="center" vertical="center" textRotation="0" wrapText="0" indent="0" justifyLastLine="0" shrinkToFit="0" readingOrder="0"/>
    </dxf>
    <dxf>
      <numFmt numFmtId="169" formatCode="&quot;$&quot;#,##0.00"/>
      <fill>
        <patternFill patternType="solid">
          <fgColor indexed="64"/>
          <bgColor theme="6" tint="0.79998168889431442"/>
        </patternFill>
      </fill>
      <alignment horizontal="center" vertical="center" textRotation="0" wrapText="0" indent="0" justifyLastLine="0" shrinkToFit="0" readingOrder="0"/>
    </dxf>
    <dxf>
      <numFmt numFmtId="169" formatCode="&quot;$&quot;#,##0.00"/>
      <fill>
        <patternFill patternType="solid">
          <fgColor indexed="64"/>
          <bgColor theme="6" tint="0.79998168889431442"/>
        </patternFill>
      </fill>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68" formatCode="_([$$-409]* #,##0.00_);_([$$-409]* \(#,##0.00\);_([$$-409]* &quot;-&quot;??_);_(@_)"/>
      <fill>
        <patternFill patternType="solid">
          <fgColor indexed="64"/>
          <bgColor theme="6" tint="0.79998168889431442"/>
        </patternFill>
      </fill>
      <alignment horizontal="center" vertical="center" textRotation="0" wrapText="0" indent="0" justifyLastLine="0" shrinkToFit="0" readingOrder="0"/>
    </dxf>
    <dxf>
      <fill>
        <patternFill patternType="solid">
          <fgColor indexed="64"/>
          <bgColor theme="4" tint="0.79998168889431442"/>
        </patternFill>
      </fill>
      <alignment horizontal="center" vertical="center" textRotation="0" wrapText="0" indent="0" justifyLastLine="0" shrinkToFit="0" readingOrder="0"/>
    </dxf>
    <dxf>
      <fill>
        <patternFill patternType="solid">
          <fgColor indexed="64"/>
          <bgColor theme="4" tint="0.79998168889431442"/>
        </patternFill>
      </fill>
      <alignment horizontal="left"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name val="Daytona Pro Light"/>
        <family val="2"/>
        <scheme val="none"/>
      </font>
      <alignment horizontal="center" vertical="center" textRotation="0" wrapText="0" indent="0" justifyLastLine="0" shrinkToFit="0" readingOrder="0"/>
    </dxf>
    <dxf>
      <font>
        <color auto="1"/>
      </font>
      <fill>
        <patternFill>
          <bgColor theme="9" tint="0.39994506668294322"/>
        </patternFill>
      </fill>
    </dxf>
    <dxf>
      <font>
        <color auto="1"/>
      </font>
      <fill>
        <patternFill>
          <bgColor theme="6" tint="0.39994506668294322"/>
        </patternFill>
      </fill>
    </dxf>
    <dxf>
      <font>
        <color auto="1"/>
      </font>
      <fill>
        <patternFill>
          <bgColor theme="9" tint="0.39994506668294322"/>
        </patternFill>
      </fill>
    </dxf>
    <dxf>
      <font>
        <color auto="1"/>
      </font>
      <fill>
        <patternFill>
          <bgColor theme="6" tint="0.39994506668294322"/>
        </patternFill>
      </fill>
    </dxf>
    <dxf>
      <font>
        <strike val="0"/>
        <outline val="0"/>
        <shadow val="0"/>
        <u val="none"/>
        <vertAlign val="baseline"/>
        <sz val="11"/>
        <color theme="1"/>
        <name val="Daytona Pro Light"/>
        <family val="2"/>
        <scheme val="none"/>
      </font>
      <numFmt numFmtId="168" formatCode="_([$$-409]* #,##0.00_);_([$$-409]* \(#,##0.00\);_([$$-409]* &quot;-&quot;??_);_(@_)"/>
      <fill>
        <patternFill patternType="solid">
          <fgColor indexed="64"/>
          <bgColor theme="6" tint="0.79998168889431442"/>
        </patternFill>
      </fill>
      <alignment horizontal="center" vertical="bottom" textRotation="0" wrapText="0" indent="0" justifyLastLine="0" shrinkToFit="0" readingOrder="0"/>
      <border diagonalUp="0" diagonalDown="0" outline="0">
        <left/>
        <right style="thin">
          <color theme="6" tint="-0.499984740745262"/>
        </right>
      </border>
    </dxf>
    <dxf>
      <font>
        <b val="0"/>
        <i val="0"/>
        <strike val="0"/>
        <condense val="0"/>
        <extend val="0"/>
        <outline val="0"/>
        <shadow val="0"/>
        <u val="none"/>
        <vertAlign val="baseline"/>
        <sz val="11"/>
        <color theme="1"/>
        <name val="Daytona Pro Light"/>
        <family val="2"/>
        <scheme val="none"/>
      </font>
      <numFmt numFmtId="14" formatCode="0.00%"/>
      <fill>
        <patternFill patternType="solid">
          <fgColor indexed="64"/>
          <bgColor theme="6" tint="0.79998168889431442"/>
        </patternFill>
      </fill>
      <alignment horizontal="center" vertical="bottom" textRotation="0" wrapText="0" indent="0" justifyLastLine="0" shrinkToFit="0" readingOrder="0"/>
      <border diagonalUp="0" diagonalDown="0" outline="0">
        <left/>
        <right/>
        <top style="thin">
          <color theme="6" tint="-0.499984740745262"/>
        </top>
        <bottom style="thin">
          <color theme="6" tint="-0.499984740745262"/>
        </bottom>
      </border>
    </dxf>
    <dxf>
      <font>
        <strike val="0"/>
        <outline val="0"/>
        <shadow val="0"/>
        <u val="none"/>
        <vertAlign val="baseline"/>
        <sz val="11"/>
        <color theme="1"/>
        <name val="Daytona Pro Light"/>
        <family val="2"/>
        <scheme val="none"/>
      </font>
      <numFmt numFmtId="169" formatCode="&quot;$&quot;#,##0.00"/>
      <fill>
        <patternFill patternType="solid">
          <fgColor indexed="64"/>
          <bgColor theme="6" tint="0.79998168889431442"/>
        </patternFill>
      </fill>
      <alignment horizontal="center" vertical="bottom" textRotation="0" wrapText="0" indent="0" justifyLastLine="0" shrinkToFit="0" readingOrder="0"/>
    </dxf>
    <dxf>
      <font>
        <strike val="0"/>
        <outline val="0"/>
        <shadow val="0"/>
        <u val="none"/>
        <vertAlign val="baseline"/>
        <sz val="11"/>
        <color theme="1"/>
        <name val="Daytona Pro Light"/>
        <family val="2"/>
        <scheme val="none"/>
      </font>
      <numFmt numFmtId="168" formatCode="_([$$-409]* #,##0.00_);_([$$-409]* \(#,##0.00\);_([$$-409]* &quot;-&quot;??_);_(@_)"/>
      <fill>
        <patternFill patternType="solid">
          <fgColor indexed="64"/>
          <bgColor theme="6"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Daytona Pro Light"/>
        <family val="2"/>
        <scheme val="none"/>
      </font>
      <numFmt numFmtId="168" formatCode="_([$$-409]* #,##0.00_);_([$$-409]* \(#,##0.00\);_([$$-409]* &quot;-&quot;??_);_(@_)"/>
      <fill>
        <patternFill patternType="solid">
          <fgColor indexed="64"/>
          <bgColor theme="6" tint="0.79998168889431442"/>
        </patternFill>
      </fill>
      <alignment horizontal="center" vertical="bottom" textRotation="0" wrapText="0" indent="0" justifyLastLine="0" shrinkToFit="0" readingOrder="0"/>
    </dxf>
    <dxf>
      <font>
        <strike val="0"/>
        <outline val="0"/>
        <shadow val="0"/>
        <u val="none"/>
        <vertAlign val="baseline"/>
        <sz val="11"/>
        <color theme="1"/>
        <name val="Daytona Pro Light"/>
        <family val="2"/>
        <scheme val="none"/>
      </font>
      <numFmt numFmtId="168" formatCode="_([$$-409]* #,##0.00_);_([$$-409]* \(#,##0.00\);_([$$-409]* &quot;-&quot;??_);_(@_)"/>
      <fill>
        <patternFill patternType="solid">
          <fgColor indexed="64"/>
          <bgColor theme="6"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Daytona Pro Light"/>
        <family val="2"/>
        <scheme val="none"/>
      </font>
      <numFmt numFmtId="168" formatCode="_([$$-409]* #,##0.00_);_([$$-409]* \(#,##0.00\);_([$$-409]* &quot;-&quot;??_);_(@_)"/>
      <fill>
        <patternFill patternType="solid">
          <fgColor indexed="64"/>
          <bgColor theme="6" tint="0.79998168889431442"/>
        </patternFill>
      </fill>
      <alignment horizontal="center" vertical="bottom" textRotation="0" wrapText="0" indent="0" justifyLastLine="0" shrinkToFit="0" readingOrder="0"/>
      <border diagonalUp="0" diagonalDown="0" outline="0">
        <left style="thin">
          <color theme="6" tint="-0.499984740745262"/>
        </left>
        <right/>
        <top style="thin">
          <color theme="6" tint="-0.499984740745262"/>
        </top>
        <bottom style="thin">
          <color theme="6" tint="-0.499984740745262"/>
        </bottom>
      </border>
    </dxf>
    <dxf>
      <font>
        <b val="0"/>
        <i val="0"/>
        <strike val="0"/>
        <condense val="0"/>
        <extend val="0"/>
        <outline val="0"/>
        <shadow val="0"/>
        <u val="none"/>
        <vertAlign val="baseline"/>
        <sz val="11"/>
        <color theme="1"/>
        <name val="Daytona Pro Light"/>
        <family val="2"/>
        <scheme val="none"/>
      </font>
      <numFmt numFmtId="168" formatCode="_([$$-409]* #,##0.00_);_([$$-409]* \(#,##0.00\);_([$$-409]* &quot;-&quot;??_);_(@_)"/>
      <fill>
        <patternFill patternType="solid">
          <fgColor indexed="64"/>
          <bgColor theme="6"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Daytona Pro Light"/>
        <family val="2"/>
        <scheme val="none"/>
      </font>
      <numFmt numFmtId="34" formatCode="_-&quot;$&quot;* #,##0.00_-;\-&quot;$&quot;* #,##0.00_-;_-&quot;$&quot;* &quot;-&quot;??_-;_-@_-"/>
      <fill>
        <patternFill patternType="solid">
          <fgColor indexed="64"/>
          <bgColor theme="4" tint="0.79998168889431442"/>
        </patternFill>
      </fill>
      <alignment horizontal="center" vertical="bottom" textRotation="0" wrapText="0" indent="0" justifyLastLine="0" shrinkToFit="0" readingOrder="0"/>
    </dxf>
    <dxf>
      <font>
        <strike val="0"/>
        <outline val="0"/>
        <shadow val="0"/>
        <u val="none"/>
        <vertAlign val="baseline"/>
        <sz val="11"/>
        <color theme="1"/>
        <name val="Daytona Pro Light"/>
        <family val="2"/>
        <scheme val="none"/>
      </font>
      <numFmt numFmtId="34" formatCode="_-&quot;$&quot;* #,##0.00_-;\-&quot;$&quot;* #,##0.00_-;_-&quot;$&quot;* &quot;-&quot;??_-;_-@_-"/>
      <fill>
        <patternFill patternType="solid">
          <fgColor indexed="64"/>
          <bgColor theme="4" tint="0.79998168889431442"/>
        </patternFill>
      </fill>
      <alignment horizontal="center" vertical="bottom" textRotation="0" wrapText="0" indent="0" justifyLastLine="0" shrinkToFit="0" readingOrder="0"/>
    </dxf>
    <dxf>
      <font>
        <strike val="0"/>
        <outline val="0"/>
        <shadow val="0"/>
        <u val="none"/>
        <vertAlign val="baseline"/>
        <sz val="11"/>
        <color theme="1"/>
        <name val="Daytona Pro Light"/>
        <family val="2"/>
        <scheme val="none"/>
      </font>
      <numFmt numFmtId="1" formatCode="0"/>
      <fill>
        <patternFill patternType="solid">
          <fgColor indexed="64"/>
          <bgColor theme="4" tint="0.79998168889431442"/>
        </patternFill>
      </fill>
      <alignment horizontal="center" vertical="bottom" textRotation="0" wrapText="0" indent="0" justifyLastLine="0" shrinkToFit="0" readingOrder="0"/>
    </dxf>
    <dxf>
      <font>
        <strike val="0"/>
        <outline val="0"/>
        <shadow val="0"/>
        <u val="none"/>
        <vertAlign val="baseline"/>
        <sz val="11"/>
        <color theme="1"/>
        <name val="Daytona Pro Light"/>
        <family val="2"/>
        <scheme val="none"/>
      </font>
      <fill>
        <patternFill patternType="solid">
          <fgColor indexed="64"/>
          <bgColor theme="4" tint="0.79998168889431442"/>
        </patternFill>
      </fill>
      <alignment horizontal="left" vertical="bottom" textRotation="0" wrapText="0" indent="0" justifyLastLine="0" shrinkToFit="0" readingOrder="0"/>
    </dxf>
    <dxf>
      <font>
        <strike val="0"/>
        <outline val="0"/>
        <shadow val="0"/>
        <u val="none"/>
        <vertAlign val="baseline"/>
        <sz val="11"/>
        <color theme="1"/>
        <name val="Daytona Pro Light"/>
        <family val="2"/>
        <scheme val="none"/>
      </font>
      <alignment horizontal="center" vertical="bottom" textRotation="0" wrapText="0" indent="0" justifyLastLine="0" shrinkToFit="0" readingOrder="0"/>
    </dxf>
    <dxf>
      <font>
        <strike val="0"/>
        <outline val="0"/>
        <shadow val="0"/>
        <u val="none"/>
        <vertAlign val="baseline"/>
        <sz val="11"/>
        <color theme="1"/>
        <name val="Daytona Pro Light"/>
        <family val="2"/>
        <scheme val="none"/>
      </font>
      <alignment horizontal="center" vertical="center" textRotation="0" indent="0" justifyLastLine="0" shrinkToFit="0" readingOrder="0"/>
    </dxf>
    <dxf>
      <font>
        <color theme="1"/>
      </font>
      <fill>
        <patternFill>
          <bgColor theme="6"/>
        </patternFill>
      </fill>
    </dxf>
    <dxf>
      <fill>
        <patternFill>
          <bgColor theme="9" tint="0.39994506668294322"/>
        </patternFill>
      </fill>
    </dxf>
    <dxf>
      <font>
        <color theme="1"/>
      </font>
      <fill>
        <patternFill>
          <bgColor theme="6"/>
        </patternFill>
      </fill>
    </dxf>
    <dxf>
      <fill>
        <patternFill>
          <bgColor theme="9" tint="0.39994506668294322"/>
        </patternFill>
      </fill>
    </dxf>
    <dxf>
      <font>
        <color auto="1"/>
      </font>
      <fill>
        <patternFill>
          <bgColor theme="6"/>
        </patternFill>
      </fill>
    </dxf>
    <dxf>
      <fill>
        <patternFill>
          <bgColor theme="9" tint="0.39994506668294322"/>
        </patternFill>
      </fill>
    </dxf>
  </dxfs>
  <tableStyles count="0" defaultTableStyle="TableStyleMedium2" defaultPivotStyle="PivotStyleLight16"/>
  <colors>
    <mruColors>
      <color rgb="FFFF3B3B"/>
      <color rgb="FFFF5757"/>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ichStyles" Target="richData/richStyle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17/06/relationships/rdRichValueStructure" Target="richData/rdrichvaluestructure.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 Target="richData/rdrichvalue.xml"/><Relationship Id="rId5" Type="http://schemas.openxmlformats.org/officeDocument/2006/relationships/worksheet" Target="worksheets/sheet5.xml"/><Relationship Id="rId15" Type="http://schemas.microsoft.com/office/2017/06/relationships/rdSupportingPropertyBag" Target="richData/rdsupportingpropertybag.xml"/><Relationship Id="rId10" Type="http://schemas.openxmlformats.org/officeDocument/2006/relationships/sheetMetadata" Target="metadata.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SupportingPropertyBagStructure" Target="richData/rdsupportingpropertybag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5000">
                <a:latin typeface="Daytona Pro Light" panose="020B0604020202020204" pitchFamily="34" charset="0"/>
              </a:rPr>
              <a:t>PORTFOLIO COST</a:t>
            </a:r>
          </a:p>
        </c:rich>
      </c:tx>
      <c:layout>
        <c:manualLayout>
          <c:xMode val="edge"/>
          <c:yMode val="edge"/>
          <c:x val="0.1326949494949495"/>
          <c:y val="5.26731060606060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7638888888888888E-2"/>
          <c:y val="0.19748472222222224"/>
          <c:w val="0.77930277777777779"/>
          <c:h val="0.77930277777777779"/>
        </c:manualLayout>
      </c:layout>
      <c:doughnutChart>
        <c:varyColors val="1"/>
        <c:ser>
          <c:idx val="0"/>
          <c:order val="0"/>
          <c:tx>
            <c:v>Cost</c:v>
          </c:tx>
          <c:spPr>
            <a:ln w="3175">
              <a:solidFill>
                <a:schemeClr val="bg1"/>
              </a:solidFill>
            </a:ln>
          </c:spPr>
          <c:dPt>
            <c:idx val="0"/>
            <c:bubble3D val="0"/>
            <c:spPr>
              <a:solidFill>
                <a:schemeClr val="accent1"/>
              </a:solidFill>
              <a:ln w="3175">
                <a:solidFill>
                  <a:schemeClr val="bg1"/>
                </a:solidFill>
              </a:ln>
              <a:effectLst/>
            </c:spPr>
            <c:extLst>
              <c:ext xmlns:c16="http://schemas.microsoft.com/office/drawing/2014/chart" uri="{C3380CC4-5D6E-409C-BE32-E72D297353CC}">
                <c16:uniqueId val="{00000001-1FB3-479F-957A-132CC51FC77C}"/>
              </c:ext>
            </c:extLst>
          </c:dPt>
          <c:dPt>
            <c:idx val="1"/>
            <c:bubble3D val="0"/>
            <c:spPr>
              <a:solidFill>
                <a:schemeClr val="accent2"/>
              </a:solidFill>
              <a:ln w="3175">
                <a:solidFill>
                  <a:schemeClr val="bg1"/>
                </a:solidFill>
              </a:ln>
              <a:effectLst/>
            </c:spPr>
            <c:extLst>
              <c:ext xmlns:c16="http://schemas.microsoft.com/office/drawing/2014/chart" uri="{C3380CC4-5D6E-409C-BE32-E72D297353CC}">
                <c16:uniqueId val="{00000003-1FB3-479F-957A-132CC51FC77C}"/>
              </c:ext>
            </c:extLst>
          </c:dPt>
          <c:dPt>
            <c:idx val="2"/>
            <c:bubble3D val="0"/>
            <c:spPr>
              <a:solidFill>
                <a:schemeClr val="accent3"/>
              </a:solidFill>
              <a:ln w="3175">
                <a:solidFill>
                  <a:schemeClr val="bg1"/>
                </a:solidFill>
              </a:ln>
              <a:effectLst/>
            </c:spPr>
            <c:extLst>
              <c:ext xmlns:c16="http://schemas.microsoft.com/office/drawing/2014/chart" uri="{C3380CC4-5D6E-409C-BE32-E72D297353CC}">
                <c16:uniqueId val="{00000005-1FB3-479F-957A-132CC51FC77C}"/>
              </c:ext>
            </c:extLst>
          </c:dPt>
          <c:dPt>
            <c:idx val="3"/>
            <c:bubble3D val="0"/>
            <c:spPr>
              <a:solidFill>
                <a:schemeClr val="accent4"/>
              </a:solidFill>
              <a:ln w="3175">
                <a:solidFill>
                  <a:schemeClr val="bg1"/>
                </a:solidFill>
              </a:ln>
              <a:effectLst/>
            </c:spPr>
            <c:extLst>
              <c:ext xmlns:c16="http://schemas.microsoft.com/office/drawing/2014/chart" uri="{C3380CC4-5D6E-409C-BE32-E72D297353CC}">
                <c16:uniqueId val="{00000007-1FB3-479F-957A-132CC51FC77C}"/>
              </c:ext>
            </c:extLst>
          </c:dPt>
          <c:dPt>
            <c:idx val="4"/>
            <c:bubble3D val="0"/>
            <c:spPr>
              <a:solidFill>
                <a:schemeClr val="accent5"/>
              </a:solidFill>
              <a:ln w="3175">
                <a:solidFill>
                  <a:schemeClr val="bg1"/>
                </a:solidFill>
              </a:ln>
              <a:effectLst/>
            </c:spPr>
            <c:extLst>
              <c:ext xmlns:c16="http://schemas.microsoft.com/office/drawing/2014/chart" uri="{C3380CC4-5D6E-409C-BE32-E72D297353CC}">
                <c16:uniqueId val="{00000009-1FB3-479F-957A-132CC51FC77C}"/>
              </c:ext>
            </c:extLst>
          </c:dPt>
          <c:dPt>
            <c:idx val="5"/>
            <c:bubble3D val="0"/>
            <c:spPr>
              <a:solidFill>
                <a:schemeClr val="accent6"/>
              </a:solidFill>
              <a:ln w="3175">
                <a:solidFill>
                  <a:schemeClr val="bg1"/>
                </a:solidFill>
              </a:ln>
              <a:effectLst/>
            </c:spPr>
            <c:extLst>
              <c:ext xmlns:c16="http://schemas.microsoft.com/office/drawing/2014/chart" uri="{C3380CC4-5D6E-409C-BE32-E72D297353CC}">
                <c16:uniqueId val="{0000000B-1FB3-479F-957A-132CC51FC77C}"/>
              </c:ext>
            </c:extLst>
          </c:dPt>
          <c:dPt>
            <c:idx val="6"/>
            <c:bubble3D val="0"/>
            <c:spPr>
              <a:solidFill>
                <a:schemeClr val="accent1">
                  <a:lumMod val="60000"/>
                </a:schemeClr>
              </a:solidFill>
              <a:ln w="3175">
                <a:solidFill>
                  <a:schemeClr val="bg1"/>
                </a:solidFill>
              </a:ln>
              <a:effectLst/>
            </c:spPr>
            <c:extLst>
              <c:ext xmlns:c16="http://schemas.microsoft.com/office/drawing/2014/chart" uri="{C3380CC4-5D6E-409C-BE32-E72D297353CC}">
                <c16:uniqueId val="{0000000D-79A6-4A6E-8E53-94DC98DA0F6B}"/>
              </c:ext>
            </c:extLst>
          </c:dPt>
          <c:cat>
            <c:strRef>
              <c:f>Portfolio!$L$6:$L$12</c:f>
              <c:strCache>
                <c:ptCount val="7"/>
                <c:pt idx="0">
                  <c:v> GOOG </c:v>
                </c:pt>
                <c:pt idx="1">
                  <c:v> VGRO </c:v>
                </c:pt>
                <c:pt idx="2">
                  <c:v> AAPL </c:v>
                </c:pt>
                <c:pt idx="3">
                  <c:v> HQU </c:v>
                </c:pt>
                <c:pt idx="4">
                  <c:v> JD </c:v>
                </c:pt>
                <c:pt idx="5">
                  <c:v> SNAP </c:v>
                </c:pt>
                <c:pt idx="6">
                  <c:v> PLTR </c:v>
                </c:pt>
              </c:strCache>
            </c:strRef>
          </c:cat>
          <c:val>
            <c:numRef>
              <c:f>Portfolio!$E$6:$E$12</c:f>
              <c:numCache>
                <c:formatCode>_([$$-409]* #,##0.00_);_([$$-409]* \(#,##0.00\);_([$$-409]* "-"??_);_(@_)</c:formatCode>
                <c:ptCount val="7"/>
                <c:pt idx="0">
                  <c:v>2804.4809180499997</c:v>
                </c:pt>
                <c:pt idx="1">
                  <c:v>814.43999999999994</c:v>
                </c:pt>
                <c:pt idx="2">
                  <c:v>446.55629277000003</c:v>
                </c:pt>
                <c:pt idx="3">
                  <c:v>178.1</c:v>
                </c:pt>
                <c:pt idx="4">
                  <c:v>406.64878323999994</c:v>
                </c:pt>
                <c:pt idx="5">
                  <c:v>657.82165819999989</c:v>
                </c:pt>
                <c:pt idx="6">
                  <c:v>601.56359494000003</c:v>
                </c:pt>
              </c:numCache>
            </c:numRef>
          </c:val>
          <c:extLst>
            <c:ext xmlns:c16="http://schemas.microsoft.com/office/drawing/2014/chart" uri="{C3380CC4-5D6E-409C-BE32-E72D297353CC}">
              <c16:uniqueId val="{0000000C-1FB3-479F-957A-132CC51FC77C}"/>
            </c:ext>
          </c:extLst>
        </c:ser>
        <c:dLbls>
          <c:showLegendKey val="0"/>
          <c:showVal val="0"/>
          <c:showCatName val="0"/>
          <c:showSerName val="0"/>
          <c:showPercent val="0"/>
          <c:showBubbleSize val="0"/>
          <c:showLeaderLines val="1"/>
        </c:dLbls>
        <c:firstSliceAng val="0"/>
        <c:holeSize val="58"/>
      </c:doughnut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25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r>
              <a:rPr lang="en-CA" sz="5000">
                <a:latin typeface="Daytona Pro Light" panose="020B0304030503040204" pitchFamily="34" charset="0"/>
              </a:rPr>
              <a:t>COST VS VALUE</a:t>
            </a:r>
          </a:p>
        </c:rich>
      </c:tx>
      <c:layout>
        <c:manualLayout>
          <c:xMode val="edge"/>
          <c:yMode val="edge"/>
          <c:x val="0.36625394142676854"/>
          <c:y val="5.1306560828661557E-2"/>
        </c:manualLayout>
      </c:layout>
      <c:overlay val="0"/>
      <c:spPr>
        <a:noFill/>
        <a:ln>
          <a:noFill/>
        </a:ln>
        <a:effectLst/>
      </c:spPr>
      <c:txPr>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389986361890148"/>
          <c:y val="0.22276655304046264"/>
          <c:w val="0.76034975584450171"/>
          <c:h val="0.76474615723344341"/>
        </c:manualLayout>
      </c:layout>
      <c:barChart>
        <c:barDir val="bar"/>
        <c:grouping val="clustered"/>
        <c:varyColors val="0"/>
        <c:ser>
          <c:idx val="0"/>
          <c:order val="0"/>
          <c:tx>
            <c:v>Value</c:v>
          </c:tx>
          <c:spPr>
            <a:solidFill>
              <a:schemeClr val="accent1"/>
            </a:solidFill>
            <a:ln>
              <a:noFill/>
            </a:ln>
            <a:effectLst/>
          </c:spPr>
          <c:invertIfNegative val="0"/>
          <c:cat>
            <c:strRef>
              <c:f>Portfolio!$L$6:$L$12</c:f>
              <c:strCache>
                <c:ptCount val="7"/>
                <c:pt idx="0">
                  <c:v> GOOG </c:v>
                </c:pt>
                <c:pt idx="1">
                  <c:v> VGRO </c:v>
                </c:pt>
                <c:pt idx="2">
                  <c:v> AAPL </c:v>
                </c:pt>
                <c:pt idx="3">
                  <c:v> HQU </c:v>
                </c:pt>
                <c:pt idx="4">
                  <c:v> JD </c:v>
                </c:pt>
                <c:pt idx="5">
                  <c:v> SNAP </c:v>
                </c:pt>
                <c:pt idx="6">
                  <c:v> PLTR </c:v>
                </c:pt>
              </c:strCache>
            </c:strRef>
          </c:cat>
          <c:val>
            <c:numRef>
              <c:f>Portfolio!$I$6:$I$12</c:f>
              <c:numCache>
                <c:formatCode>_([$$-409]* #,##0.00_);_([$$-409]* \(#,##0.00\);_([$$-409]* "-"??_);_(@_)</c:formatCode>
                <c:ptCount val="7"/>
                <c:pt idx="0">
                  <c:v>2659.4663245499996</c:v>
                </c:pt>
                <c:pt idx="1">
                  <c:v>979.43999999999994</c:v>
                </c:pt>
                <c:pt idx="2">
                  <c:v>448.64602272000002</c:v>
                </c:pt>
                <c:pt idx="3">
                  <c:v>194.05</c:v>
                </c:pt>
                <c:pt idx="4">
                  <c:v>440.64172375999999</c:v>
                </c:pt>
                <c:pt idx="5">
                  <c:v>697.14657634999992</c:v>
                </c:pt>
                <c:pt idx="6">
                  <c:v>660.77261018999991</c:v>
                </c:pt>
              </c:numCache>
            </c:numRef>
          </c:val>
          <c:extLst>
            <c:ext xmlns:c16="http://schemas.microsoft.com/office/drawing/2014/chart" uri="{C3380CC4-5D6E-409C-BE32-E72D297353CC}">
              <c16:uniqueId val="{00000002-D010-4549-9BE4-4F691B6D39D5}"/>
            </c:ext>
          </c:extLst>
        </c:ser>
        <c:ser>
          <c:idx val="1"/>
          <c:order val="1"/>
          <c:tx>
            <c:v>Cost</c:v>
          </c:tx>
          <c:spPr>
            <a:solidFill>
              <a:schemeClr val="accent2"/>
            </a:solidFill>
            <a:ln>
              <a:noFill/>
            </a:ln>
            <a:effectLst/>
          </c:spPr>
          <c:invertIfNegative val="0"/>
          <c:cat>
            <c:strRef>
              <c:f>Portfolio!$L$6:$L$12</c:f>
              <c:strCache>
                <c:ptCount val="7"/>
                <c:pt idx="0">
                  <c:v> GOOG </c:v>
                </c:pt>
                <c:pt idx="1">
                  <c:v> VGRO </c:v>
                </c:pt>
                <c:pt idx="2">
                  <c:v> AAPL </c:v>
                </c:pt>
                <c:pt idx="3">
                  <c:v> HQU </c:v>
                </c:pt>
                <c:pt idx="4">
                  <c:v> JD </c:v>
                </c:pt>
                <c:pt idx="5">
                  <c:v> SNAP </c:v>
                </c:pt>
                <c:pt idx="6">
                  <c:v> PLTR </c:v>
                </c:pt>
              </c:strCache>
            </c:strRef>
          </c:cat>
          <c:val>
            <c:numRef>
              <c:f>Portfolio!$E$6:$E$12</c:f>
              <c:numCache>
                <c:formatCode>_([$$-409]* #,##0.00_);_([$$-409]* \(#,##0.00\);_([$$-409]* "-"??_);_(@_)</c:formatCode>
                <c:ptCount val="7"/>
                <c:pt idx="0">
                  <c:v>2804.4809180499997</c:v>
                </c:pt>
                <c:pt idx="1">
                  <c:v>814.43999999999994</c:v>
                </c:pt>
                <c:pt idx="2">
                  <c:v>446.55629277000003</c:v>
                </c:pt>
                <c:pt idx="3">
                  <c:v>178.1</c:v>
                </c:pt>
                <c:pt idx="4">
                  <c:v>406.64878323999994</c:v>
                </c:pt>
                <c:pt idx="5">
                  <c:v>657.82165819999989</c:v>
                </c:pt>
                <c:pt idx="6">
                  <c:v>601.56359494000003</c:v>
                </c:pt>
              </c:numCache>
            </c:numRef>
          </c:val>
          <c:extLst>
            <c:ext xmlns:c16="http://schemas.microsoft.com/office/drawing/2014/chart" uri="{C3380CC4-5D6E-409C-BE32-E72D297353CC}">
              <c16:uniqueId val="{00000003-D010-4549-9BE4-4F691B6D39D5}"/>
            </c:ext>
          </c:extLst>
        </c:ser>
        <c:dLbls>
          <c:showLegendKey val="0"/>
          <c:showVal val="0"/>
          <c:showCatName val="0"/>
          <c:showSerName val="0"/>
          <c:showPercent val="0"/>
          <c:showBubbleSize val="0"/>
        </c:dLbls>
        <c:gapWidth val="182"/>
        <c:axId val="1093768127"/>
        <c:axId val="47649487"/>
      </c:barChart>
      <c:catAx>
        <c:axId val="10937681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Daytona Pro Light" panose="020B0304030503040204" pitchFamily="34" charset="0"/>
                <a:ea typeface="+mn-ea"/>
                <a:cs typeface="+mn-cs"/>
              </a:defRPr>
            </a:pPr>
            <a:endParaRPr lang="en-US"/>
          </a:p>
        </c:txPr>
        <c:crossAx val="47649487"/>
        <c:crosses val="autoZero"/>
        <c:auto val="1"/>
        <c:lblAlgn val="ctr"/>
        <c:lblOffset val="100"/>
        <c:noMultiLvlLbl val="0"/>
      </c:catAx>
      <c:valAx>
        <c:axId val="47649487"/>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0"/>
        <c:majorTickMark val="out"/>
        <c:minorTickMark val="none"/>
        <c:tickLblPos val="high"/>
        <c:spPr>
          <a:noFill/>
          <a:ln>
            <a:solidFill>
              <a:schemeClr val="bg1"/>
            </a:solidFill>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0937681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3000" b="0" i="0" u="none" strike="noStrike" kern="1200" baseline="0">
              <a:solidFill>
                <a:schemeClr val="tx1">
                  <a:lumMod val="65000"/>
                  <a:lumOff val="35000"/>
                </a:schemeClr>
              </a:solidFill>
              <a:latin typeface="Daytona Pro Light" panose="020B030403050304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100" baseline="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5000">
                <a:latin typeface="Daytona Pro Light" panose="020B0604020202020204" pitchFamily="34" charset="0"/>
              </a:rPr>
              <a:t>PORTFOLIO VALUE</a:t>
            </a:r>
          </a:p>
        </c:rich>
      </c:tx>
      <c:layout>
        <c:manualLayout>
          <c:xMode val="edge"/>
          <c:yMode val="edge"/>
          <c:x val="0.13429848484848486"/>
          <c:y val="4.62589646464646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7638888888888888E-2"/>
          <c:y val="0.19748472222222224"/>
          <c:w val="0.77930277777777779"/>
          <c:h val="0.77930277777777779"/>
        </c:manualLayout>
      </c:layout>
      <c:doughnutChart>
        <c:varyColors val="1"/>
        <c:ser>
          <c:idx val="0"/>
          <c:order val="0"/>
          <c:tx>
            <c:v>Value</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95E-4F78-BFFC-5682AB7CD03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95E-4F78-BFFC-5682AB7CD03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95E-4F78-BFFC-5682AB7CD03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95E-4F78-BFFC-5682AB7CD03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95E-4F78-BFFC-5682AB7CD03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95E-4F78-BFFC-5682AB7CD03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596-40F6-A001-5EEEB60C853B}"/>
              </c:ext>
            </c:extLst>
          </c:dPt>
          <c:cat>
            <c:strRef>
              <c:f>Portfolio!$L$6:$L$12</c:f>
              <c:strCache>
                <c:ptCount val="7"/>
                <c:pt idx="0">
                  <c:v> GOOG </c:v>
                </c:pt>
                <c:pt idx="1">
                  <c:v> VGRO </c:v>
                </c:pt>
                <c:pt idx="2">
                  <c:v> AAPL </c:v>
                </c:pt>
                <c:pt idx="3">
                  <c:v> HQU </c:v>
                </c:pt>
                <c:pt idx="4">
                  <c:v> JD </c:v>
                </c:pt>
                <c:pt idx="5">
                  <c:v> SNAP </c:v>
                </c:pt>
                <c:pt idx="6">
                  <c:v> PLTR </c:v>
                </c:pt>
              </c:strCache>
            </c:strRef>
          </c:cat>
          <c:val>
            <c:numRef>
              <c:f>Portfolio!$I$6:$I$12</c:f>
              <c:numCache>
                <c:formatCode>_([$$-409]* #,##0.00_);_([$$-409]* \(#,##0.00\);_([$$-409]* "-"??_);_(@_)</c:formatCode>
                <c:ptCount val="7"/>
                <c:pt idx="0">
                  <c:v>2659.4663245499996</c:v>
                </c:pt>
                <c:pt idx="1">
                  <c:v>979.43999999999994</c:v>
                </c:pt>
                <c:pt idx="2">
                  <c:v>448.64602272000002</c:v>
                </c:pt>
                <c:pt idx="3">
                  <c:v>194.05</c:v>
                </c:pt>
                <c:pt idx="4">
                  <c:v>440.64172375999999</c:v>
                </c:pt>
                <c:pt idx="5">
                  <c:v>697.14657634999992</c:v>
                </c:pt>
                <c:pt idx="6">
                  <c:v>660.77261018999991</c:v>
                </c:pt>
              </c:numCache>
            </c:numRef>
          </c:val>
          <c:extLst>
            <c:ext xmlns:c16="http://schemas.microsoft.com/office/drawing/2014/chart" uri="{C3380CC4-5D6E-409C-BE32-E72D297353CC}">
              <c16:uniqueId val="{0000000E-C183-4D75-BF47-B0523A1597AE}"/>
            </c:ext>
          </c:extLst>
        </c:ser>
        <c:dLbls>
          <c:showLegendKey val="0"/>
          <c:showVal val="0"/>
          <c:showCatName val="0"/>
          <c:showSerName val="0"/>
          <c:showPercent val="0"/>
          <c:showBubbleSize val="0"/>
          <c:showLeaderLines val="1"/>
        </c:dLbls>
        <c:firstSliceAng val="0"/>
        <c:holeSize val="58"/>
      </c:doughnut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25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263237</xdr:colOff>
      <xdr:row>0</xdr:row>
      <xdr:rowOff>0</xdr:rowOff>
    </xdr:from>
    <xdr:to>
      <xdr:col>14</xdr:col>
      <xdr:colOff>258437</xdr:colOff>
      <xdr:row>41</xdr:row>
      <xdr:rowOff>109500</xdr:rowOff>
    </xdr:to>
    <xdr:grpSp>
      <xdr:nvGrpSpPr>
        <xdr:cNvPr id="4" name="Group 3">
          <a:extLst>
            <a:ext uri="{FF2B5EF4-FFF2-40B4-BE49-F238E27FC236}">
              <a16:creationId xmlns:a16="http://schemas.microsoft.com/office/drawing/2014/main" id="{5F4E6B89-3937-45A7-97CC-BFEED78A22E7}"/>
            </a:ext>
          </a:extLst>
        </xdr:cNvPr>
        <xdr:cNvGrpSpPr/>
      </xdr:nvGrpSpPr>
      <xdr:grpSpPr>
        <a:xfrm>
          <a:off x="872837" y="0"/>
          <a:ext cx="7920000" cy="7493973"/>
          <a:chOff x="0" y="0"/>
          <a:chExt cx="4589843" cy="4039849"/>
        </a:xfrm>
      </xdr:grpSpPr>
      <xdr:graphicFrame macro="">
        <xdr:nvGraphicFramePr>
          <xdr:cNvPr id="2" name="Chart 1">
            <a:extLst>
              <a:ext uri="{FF2B5EF4-FFF2-40B4-BE49-F238E27FC236}">
                <a16:creationId xmlns:a16="http://schemas.microsoft.com/office/drawing/2014/main" id="{20F7114E-CF76-4A8F-B8BC-7E9FB809AF13}"/>
              </a:ext>
            </a:extLst>
          </xdr:cNvPr>
          <xdr:cNvGraphicFramePr>
            <a:graphicFrameLocks/>
          </xdr:cNvGraphicFramePr>
        </xdr:nvGraphicFramePr>
        <xdr:xfrm>
          <a:off x="0" y="0"/>
          <a:ext cx="4589843" cy="4039849"/>
        </xdr:xfrm>
        <a:graphic>
          <a:graphicData uri="http://schemas.openxmlformats.org/drawingml/2006/chart">
            <c:chart xmlns:c="http://schemas.openxmlformats.org/drawingml/2006/chart" xmlns:r="http://schemas.openxmlformats.org/officeDocument/2006/relationships" r:id="rId1"/>
          </a:graphicData>
        </a:graphic>
      </xdr:graphicFrame>
      <xdr:sp macro="" textlink="Portfolio!B2">
        <xdr:nvSpPr>
          <xdr:cNvPr id="3" name="TextBox 2">
            <a:extLst>
              <a:ext uri="{FF2B5EF4-FFF2-40B4-BE49-F238E27FC236}">
                <a16:creationId xmlns:a16="http://schemas.microsoft.com/office/drawing/2014/main" id="{4EBCF46A-5487-4E3B-B942-7C552E921593}"/>
              </a:ext>
            </a:extLst>
          </xdr:cNvPr>
          <xdr:cNvSpPr txBox="1"/>
        </xdr:nvSpPr>
        <xdr:spPr>
          <a:xfrm>
            <a:off x="880380" y="1646127"/>
            <a:ext cx="1967929" cy="14341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692C82-228D-42D5-A4AA-F7F604A33FA1}" type="TxLink">
              <a:rPr lang="en-US" sz="4800" b="0" i="0" u="none" strike="noStrike">
                <a:solidFill>
                  <a:srgbClr val="000000"/>
                </a:solidFill>
                <a:latin typeface="Daytona Pro Light" panose="020B0304030503040204" pitchFamily="34" charset="0"/>
              </a:rPr>
              <a:pPr algn="ctr"/>
              <a:t>5909.61</a:t>
            </a:fld>
            <a:endParaRPr lang="en-CA" sz="4800">
              <a:latin typeface="Daytona Pro Light" panose="020B0304030503040204" pitchFamily="34" charset="0"/>
            </a:endParaRPr>
          </a:p>
        </xdr:txBody>
      </xdr:sp>
    </xdr:grpSp>
    <xdr:clientData/>
  </xdr:twoCellAnchor>
  <xdr:twoCellAnchor editAs="absolute">
    <xdr:from>
      <xdr:col>32</xdr:col>
      <xdr:colOff>19050</xdr:colOff>
      <xdr:row>0</xdr:row>
      <xdr:rowOff>0</xdr:rowOff>
    </xdr:from>
    <xdr:to>
      <xdr:col>52</xdr:col>
      <xdr:colOff>0</xdr:colOff>
      <xdr:row>41</xdr:row>
      <xdr:rowOff>109500</xdr:rowOff>
    </xdr:to>
    <xdr:graphicFrame macro="">
      <xdr:nvGraphicFramePr>
        <xdr:cNvPr id="6" name="Chart 5">
          <a:extLst>
            <a:ext uri="{FF2B5EF4-FFF2-40B4-BE49-F238E27FC236}">
              <a16:creationId xmlns:a16="http://schemas.microsoft.com/office/drawing/2014/main" id="{36708486-DA46-4442-967C-D3A5D4F3D3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514351</xdr:colOff>
      <xdr:row>0</xdr:row>
      <xdr:rowOff>0</xdr:rowOff>
    </xdr:from>
    <xdr:to>
      <xdr:col>29</xdr:col>
      <xdr:colOff>509551</xdr:colOff>
      <xdr:row>41</xdr:row>
      <xdr:rowOff>109500</xdr:rowOff>
    </xdr:to>
    <xdr:grpSp>
      <xdr:nvGrpSpPr>
        <xdr:cNvPr id="8" name="Group 7">
          <a:extLst>
            <a:ext uri="{FF2B5EF4-FFF2-40B4-BE49-F238E27FC236}">
              <a16:creationId xmlns:a16="http://schemas.microsoft.com/office/drawing/2014/main" id="{6214C3AA-9EC0-499E-BE5C-CF1ED6AEBD6E}"/>
            </a:ext>
          </a:extLst>
        </xdr:cNvPr>
        <xdr:cNvGrpSpPr/>
      </xdr:nvGrpSpPr>
      <xdr:grpSpPr>
        <a:xfrm>
          <a:off x="10267951" y="0"/>
          <a:ext cx="7920000" cy="7493973"/>
          <a:chOff x="0" y="0"/>
          <a:chExt cx="4589843" cy="4039849"/>
        </a:xfrm>
      </xdr:grpSpPr>
      <xdr:graphicFrame macro="">
        <xdr:nvGraphicFramePr>
          <xdr:cNvPr id="9" name="Chart 8">
            <a:extLst>
              <a:ext uri="{FF2B5EF4-FFF2-40B4-BE49-F238E27FC236}">
                <a16:creationId xmlns:a16="http://schemas.microsoft.com/office/drawing/2014/main" id="{34C09BA1-4196-4512-A3B6-EDBC4BD364EF}"/>
              </a:ext>
            </a:extLst>
          </xdr:cNvPr>
          <xdr:cNvGraphicFramePr>
            <a:graphicFrameLocks/>
          </xdr:cNvGraphicFramePr>
        </xdr:nvGraphicFramePr>
        <xdr:xfrm>
          <a:off x="0" y="0"/>
          <a:ext cx="4589843" cy="4039849"/>
        </xdr:xfrm>
        <a:graphic>
          <a:graphicData uri="http://schemas.openxmlformats.org/drawingml/2006/chart">
            <c:chart xmlns:c="http://schemas.openxmlformats.org/drawingml/2006/chart" xmlns:r="http://schemas.openxmlformats.org/officeDocument/2006/relationships" r:id="rId3"/>
          </a:graphicData>
        </a:graphic>
      </xdr:graphicFrame>
      <xdr:sp macro="" textlink="Portfolio!D2">
        <xdr:nvSpPr>
          <xdr:cNvPr id="10" name="TextBox 9">
            <a:extLst>
              <a:ext uri="{FF2B5EF4-FFF2-40B4-BE49-F238E27FC236}">
                <a16:creationId xmlns:a16="http://schemas.microsoft.com/office/drawing/2014/main" id="{A9EE0DD0-6B70-45B7-AC2B-C7B9B208C707}"/>
              </a:ext>
            </a:extLst>
          </xdr:cNvPr>
          <xdr:cNvSpPr txBox="1"/>
        </xdr:nvSpPr>
        <xdr:spPr>
          <a:xfrm>
            <a:off x="880380" y="1646127"/>
            <a:ext cx="1967929" cy="14341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14713F-2876-4705-89C5-34FC36CBCFCB}" type="TxLink">
              <a:rPr lang="en-US" sz="4800" b="0" i="0" u="none" strike="noStrike">
                <a:solidFill>
                  <a:srgbClr val="000000"/>
                </a:solidFill>
                <a:latin typeface="Daytona Pro Light"/>
              </a:rPr>
              <a:pPr algn="ctr"/>
              <a:t>6080.16</a:t>
            </a:fld>
            <a:endParaRPr lang="en-CA" sz="4800">
              <a:latin typeface="Daytona Pro Light" panose="020B0304030503040204" pitchFamily="34" charset="0"/>
            </a:endParaRPr>
          </a:p>
        </xdr:txBody>
      </xdr:sp>
    </xdr:grp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74E33BC3-5FD0-4041-AD2B-4411EE39F2AC}" autoFormatId="16" applyNumberFormats="0" applyBorderFormats="0" applyFontFormats="0" applyPatternFormats="0" applyAlignmentFormats="0" applyWidthHeightFormats="0">
  <queryTableRefresh nextId="4">
    <queryTableFields count="3">
      <queryTableField id="1" name="Canadian Dollar" tableColumnId="1"/>
      <queryTableField id="2" name="1.00 CAD" tableColumnId="2"/>
      <queryTableField id="3" name="inv. 1.00 CAD" tableColumnId="3"/>
    </queryTableFields>
  </queryTableRefresh>
</queryTable>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Flags>
    </type>
  </types>
</rvTypesInfo>
</file>

<file path=xl/richData/rdrichvalue.xml><?xml version="1.0" encoding="utf-8"?>
<rvData xmlns="http://schemas.microsoft.com/office/spreadsheetml/2017/richdata" count="53">
  <rv s="0">
    <v>http://en.wikipedia.org/wiki/Public_domain</v>
    <v>Public domain</v>
  </rv>
  <rv s="0">
    <v>http://en.wikipedia.org/wiki/Alphabet_Inc.</v>
    <v>Wikipedia</v>
  </rv>
  <rv s="1">
    <v>0</v>
    <v>1</v>
  </rv>
  <rv s="2">
    <v>6</v>
    <v>https://www.bing.com/th?id=AMMS_91f59ff6c9305ce24b1cf0389cd856f8&amp;qlt=95</v>
    <v>2</v>
    <v>https://www.bing.com/images/search?form=xlimg&amp;q=alphabet+inc.</v>
    <v>Image of ALPHABET INC.</v>
    <v/>
  </rv>
  <rv s="0">
    <v>https://www.bing.com/financeapi/forcetrigger?t=a1u3p2&amp;q=XNAS%3aGOOG&amp;form=skydnc</v>
    <v>Learn more on Bing</v>
  </rv>
  <rv s="3">
    <v>en-US</v>
    <v>a1u3p2</v>
    <v>268435456</v>
    <v>268435457</v>
    <v>1</v>
    <v>Powered by Refinitiv</v>
    <v>0</v>
    <v>ALPHABET INC. (XNAS:GOOG)</v>
    <v>3</v>
    <v>4</v>
    <v>Finance</v>
    <v>5</v>
    <v>2152.6799999999998</v>
    <v>1013.5361</v>
    <v>0.99550000000000005</v>
    <v>-8.69</v>
    <v>-4.1210000000000005E-3</v>
    <v>USD</v>
    <v>Alphabet Inc. is a holding company. The Company's businesses include Google Inc. (Google) and its Internet products, such as Access, Calico, CapitalG, GV, Nest, Verily, Waymo and X. The Company's segments include Google and Other Bets. The Google segment includes its Internet products, such as Search, Ads, Commerce, Maps, YouTube, Google Cloud, Android, Chrome and Google Play, as well as its hardware initiatives. The Google segment is engaged in advertising, sales of digital content, applications and cloud offerings, and sales of hardware products. The Other Bets segment is engaged in the sales of Internet and television services through Google Fiber, sales of Nest products and services, and licensing and research and development (R&amp;D) services through Verily. It offers Google Assistant, which allows users to type or talk with Google; Google Maps, which helps users navigate to a store, and Google Photos, which helps users store and organize all of their photos.</v>
    <v>135301</v>
    <v>Nasdaq Stock Market</v>
    <v>XNAS</v>
    <v>XNAS</v>
    <v>1600 Amphitheatre Pkwy, MOUNTAIN VIEW, CA, 94043-1351 US</v>
    <v>2128.8000000000002</v>
    <v>3</v>
    <v>Software &amp; IT Services</v>
    <v>Stock</v>
    <v>44263.693437777343</v>
    <v>4</v>
    <v>2087.75</v>
    <v>1417469000000</v>
    <v>ALPHABET INC.</v>
    <v>ALPHABET INC.</v>
    <v>2101.13</v>
    <v>35.897599999999997</v>
    <v>2108.54</v>
    <v>2099.85</v>
    <v>674136700</v>
    <v>GOOG</v>
    <v>ALPHABET INC. (XNAS:GOOG)</v>
    <v>596635</v>
    <v>1575207</v>
    <v>2015</v>
  </rv>
  <rv s="4">
    <v>5</v>
  </rv>
  <rv s="0">
    <v>https://www.bing.com/financeapi/forcetrigger?t=ayud8m&amp;q=XTSE%3aVGRO&amp;form=skydnc</v>
    <v>Learn more on Bing</v>
  </rv>
  <rv s="5">
    <v>en-US</v>
    <v>ayud8m</v>
    <v>268435456</v>
    <v>268435459</v>
    <v>1</v>
    <v>Powered by Refinitiv</v>
    <v>7</v>
    <v>Vanguard Growth ETF Portfolio (XTSE:VGRO)</v>
    <v>8</v>
    <v>9</v>
    <v>Finance</v>
    <v>10</v>
    <v>30.48</v>
    <v>20.52</v>
    <v>0.97809999999999997</v>
    <v>0.12</v>
    <v>4.0600000000000002E-3</v>
    <v>CAD</v>
    <v>Toronto Stock Exchange</v>
    <v>XTSE</v>
    <v>2.5000000000000001E-3</v>
    <v>29.7</v>
    <v>ETF</v>
    <v>44263.683217592596</v>
    <v>7</v>
    <v>29.45</v>
    <v>2114580267.48</v>
    <v>Vanguard Growth ETF Portfolio</v>
    <v>29.6</v>
    <v>29.56</v>
    <v>29.68</v>
    <v>VGRO</v>
    <v>Vanguard Growth ETF Portfolio (XTSE:VGRO)</v>
    <v>124937</v>
  </rv>
  <rv s="4">
    <v>8</v>
  </rv>
  <rv s="0">
    <v>http://ja.wikipedia.org/wiki/アップル_(企業)</v>
    <v>Wikipedia</v>
  </rv>
  <rv s="1">
    <v>0</v>
    <v>10</v>
  </rv>
  <rv s="2">
    <v>6</v>
    <v>https://www.bing.com/th?id=AMMS_4b742b6461de24cfdaeba0c724c4b15e&amp;qlt=95</v>
    <v>11</v>
    <v>https://www.bing.com/images/search?form=xlimg&amp;q=apple+inc</v>
    <v>Image of APPLE INC.</v>
    <v/>
  </rv>
  <rv s="0">
    <v>https://www.bing.com/financeapi/forcetrigger?t=a1mou2&amp;q=XNAS%3aAAPL&amp;form=skydnc</v>
    <v>Learn more on Bing</v>
  </rv>
  <rv s="3">
    <v>en-US</v>
    <v>a1mou2</v>
    <v>268435456</v>
    <v>268435457</v>
    <v>1</v>
    <v>Powered by Refinitiv</v>
    <v>0</v>
    <v>APPLE INC. (XNAS:AAPL)</v>
    <v>3</v>
    <v>4</v>
    <v>Finance</v>
    <v>5</v>
    <v>145.09</v>
    <v>53.152500000000003</v>
    <v>1.2363999999999999</v>
    <v>-3.34</v>
    <v>-2.7507999999999998E-2</v>
    <v>USD</v>
    <v>Apple Inc. designs, manufactures and markets mobile communication and media devices, personal computers and portable digital music players. The Company sells a range of related software, services, accessories, networking solutions, and third-party digital content and applications. The Company's segments include the Americas, Europe, Greater China, Japan and Rest of Asia Pacific. The Americas segment includes both North and South America. The Europe segment includes European countries, India, the Middle East and Africa. The Greater China segment includes China, Hong Kong and Taiwan. The Rest of Asia Pacific segment includes Australia and the Asian countries not included in the Company's other operating segments. Its products and services include iPhone, iPad, Mac, iPod, Apple Watch, Apple TV, a portfolio of consumer and professional software applications, iPhone OS (iOS), OS X and watchOS operating systems, iCloud, Apple Pay and a range of accessory, service and support offerings.</v>
    <v>147000</v>
    <v>Nasdaq Stock Market</v>
    <v>XNAS</v>
    <v>XNAS</v>
    <v>1 Apple Park Way, CUPERTINO, CA, 95014-0642 US</v>
    <v>121</v>
    <v>12</v>
    <v>Computers, Phones &amp; Household Electronics</v>
    <v>Stock</v>
    <v>44263.69389141172</v>
    <v>13</v>
    <v>118.06</v>
    <v>2038411000000</v>
    <v>APPLE INC.</v>
    <v>APPLE INC.</v>
    <v>120.92</v>
    <v>32.824199999999998</v>
    <v>121.42</v>
    <v>118.08</v>
    <v>16788100000</v>
    <v>AAPL</v>
    <v>APPLE INC. (XNAS:AAPL)</v>
    <v>61461902</v>
    <v>107000126</v>
    <v>1977</v>
  </rv>
  <rv s="4">
    <v>14</v>
  </rv>
  <rv s="0">
    <v>https://www.bing.com/financeapi/forcetrigger?t=aayph7&amp;q=XTSE%3aHQU&amp;form=skydnc</v>
    <v>Learn more on Bing</v>
  </rv>
  <rv s="5">
    <v>en-US</v>
    <v>aayph7</v>
    <v>268435456</v>
    <v>268435459</v>
    <v>1</v>
    <v>Powered by Refinitiv</v>
    <v>7</v>
    <v>BetaPro NASDAQ1002xDaily Bull (XTSE:HQU)</v>
    <v>8</v>
    <v>9</v>
    <v>Finance</v>
    <v>10</v>
    <v>47.01</v>
    <v>12.3</v>
    <v>-4.6660000000000004</v>
    <v>-0.12</v>
    <v>-3.0819999999999997E-3</v>
    <v>CAD</v>
    <v>Toronto Stock Exchange</v>
    <v>XTSE</v>
    <v>1.52E-2</v>
    <v>39.25</v>
    <v>ETF</v>
    <v>44263.683356481481</v>
    <v>16</v>
    <v>38.11</v>
    <v>170760559</v>
    <v>BetaPro NASDAQ1002xDaily Bull</v>
    <v>38.79</v>
    <v>38.93</v>
    <v>38.81</v>
    <v>HQU</v>
    <v>BetaPro NASDAQ1002xDaily Bull (XTSE:HQU)</v>
    <v>748052</v>
  </rv>
  <rv s="4">
    <v>17</v>
  </rv>
  <rv s="0">
    <v>https://www.bing.com/financeapi/forcetrigger?t=a1w2u2&amp;q=XNAS%3aJD&amp;form=skydnc</v>
    <v>Learn more on Bing</v>
  </rv>
  <rv s="6">
    <v>en-US</v>
    <v>a1w2u2</v>
    <v>268435456</v>
    <v>268435457</v>
    <v>1</v>
    <v>Powered by Refinitiv</v>
    <v>11</v>
    <v>JD.COM, INC. (XNAS:JD)</v>
    <v>12</v>
    <v>13</v>
    <v>Finance</v>
    <v>5</v>
    <v>108.29</v>
    <v>32.700000000000003</v>
    <v>-3.64</v>
    <v>-4.0168000000000002E-2</v>
    <v>USD</v>
    <v>JD.com Inc is a holding company mainly engaged in e-commerce business. The Company operates two segments. JD Retail segment consists of online retail, online marketplace and marketing services in China. The Company offers electronics products, home appliances and other general merchandise categories. The Company has its own online platform, which third-party merchants offer products on it. The Company provides marketing and display advertising services to third-party merchants, suppliers and other business partners on its website channels. New Businesses segment includes logistics services provided to third parties, overseas business, technology initiatives, as well as asset management services to logistics property investors and sale of development properties. It offers comprehensive supply chain solutions to third parties through JD Logistics, including warehousing, transportation, delivery and after-sales service. The Company mainly conducts its businesses in the China market.</v>
    <v>227730</v>
    <v>Nasdaq Stock Market</v>
    <v>XNAS</v>
    <v>XNAS</v>
    <v>20Th Floor, Building A, No. 18 Kechuang, Yizhuang Bda, Daxing District, BEIJING, BEIJING, 101111 CN</v>
    <v>88.18</v>
    <v>Diversified Retail</v>
    <v>Stock</v>
    <v>44263.693407638282</v>
    <v>19</v>
    <v>85.91</v>
    <v>1118588000000</v>
    <v>JD.COM, INC.</v>
    <v>JD.COM, INC.</v>
    <v>87</v>
    <v>33.517099999999999</v>
    <v>90.62</v>
    <v>86.98</v>
    <v>3129794000</v>
    <v>JD</v>
    <v>JD.COM, INC. (XNAS:JD)</v>
    <v>5579599</v>
    <v>9681624</v>
  </rv>
  <rv s="4">
    <v>20</v>
  </rv>
  <rv s="0">
    <v>http://en.wikipedia.org/wiki/Snap_Inc.</v>
    <v>Wikipedia</v>
  </rv>
  <rv s="1">
    <v>0</v>
    <v>22</v>
  </rv>
  <rv s="2">
    <v>6</v>
    <v>https://www.bing.com/th?id=AMMS_4fb73097a01f1d466c31851722ace0d0&amp;qlt=95</v>
    <v>23</v>
    <v>https://www.bing.com/images/search?form=xlimg&amp;q=snap+inc.</v>
    <v>Image of SNAP INC.</v>
    <v/>
  </rv>
  <rv s="0">
    <v>https://www.bing.com/financeapi/forcetrigger?t=a237m7&amp;q=XNYS%3aSNAP&amp;form=skydnc</v>
    <v>Learn more on Bing</v>
  </rv>
  <rv s="3">
    <v>en-US</v>
    <v>a237m7</v>
    <v>268435456</v>
    <v>268435457</v>
    <v>1</v>
    <v>Powered by Refinitiv</v>
    <v>0</v>
    <v>SNAP INC. (XNYS:SNAP)</v>
    <v>3</v>
    <v>4</v>
    <v>Finance</v>
    <v>5</v>
    <v>73.59</v>
    <v>7.89</v>
    <v>1.3358000000000001</v>
    <v>-2.3849999999999998</v>
    <v>-4.1528999999999996E-2</v>
    <v>USD</v>
    <v>Snap Inc. is a camera company. The Company’s flagship product, Snapchat, is a camera application that helps people to communicate through short videos and images known as a Snap. The Company provides Camera, Friends Page, Discover, Snap Map, Memories and Spectacles. Snapchat opens directly into the Camera, helping in creating a Snap and sending it to friends. It offers a range of creative tools that enables people to personalize and add content to their Snaps. Its chat services includes creating and watching stories, chatting with groups, making voice and video calls, and communicating through a range of stickers and Bitmojis. Memories enable users to create Snaps and stories from their saved snaps, as well as their camera roll. It also offers Spectacles, its sunglasses that make Snap. The Company’s advertising products include Snap Ads and Sponsored Creative Tools, such as Sponsored Lenses and Sponsored Geofilters.</v>
    <v>3863</v>
    <v>New York Stock Exchange</v>
    <v>XNYS</v>
    <v>XNYS</v>
    <v>2772 Donald Douglas, Loop North, SANTA MONICA, CA, 90405 US</v>
    <v>58.54</v>
    <v>24</v>
    <v>Software &amp; IT Services</v>
    <v>Stock</v>
    <v>44263.693483066403</v>
    <v>25</v>
    <v>54.884999999999998</v>
    <v>86621900000</v>
    <v>SNAP INC.</v>
    <v>SNAP INC.</v>
    <v>57.59</v>
    <v>0</v>
    <v>57.43</v>
    <v>55.045000000000002</v>
    <v>1508304000</v>
    <v>SNAP</v>
    <v>SNAP INC. (XNYS:SNAP)</v>
    <v>9027042</v>
    <v>26479144</v>
    <v>2012</v>
  </rv>
  <rv s="4">
    <v>26</v>
  </rv>
  <rv s="0">
    <v>https://www.bing.com/financeapi/forcetrigger?t=bvsk7w&amp;q=XNYS%3aPLTR&amp;form=skydnc</v>
    <v>Learn more on Bing</v>
  </rv>
  <rv s="7">
    <v>en-US</v>
    <v>bvsk7w</v>
    <v>268435456</v>
    <v>268435457</v>
    <v>1</v>
    <v>Powered by Refinitiv</v>
    <v>14</v>
    <v>PALANTIR TECHNOLOGIES INC. (XNYS:PLTR)</v>
    <v>12</v>
    <v>15</v>
    <v>Finance</v>
    <v>5</v>
    <v>45</v>
    <v>8.9</v>
    <v>-0.23499999999999999</v>
    <v>-9.8119999999999995E-3</v>
    <v>USD</v>
    <v>Palantir Technologies Inc. builds software platforms for institutions. The Company operates two segments: commercial, which serves customers working in non-government industries, and government, which serves customers that are agencies in the United States federal government and non-United States governments. It has built two software platforms, Palantir Gotham (Gotham) and Palantir Foundry (Foundry). Gotham is a software platform, which is constructed for analysts at defense and intelligence agencies. Gotham enables users to identify patterns hidden within datasets, ranging from signals intelligence sources to reports from informants, and helps the United States and allied military personnel. Foundry creates a central operating system for organization’s data. Individual users can integrate and analyze the data.</v>
    <v>2439</v>
    <v>New York Stock Exchange</v>
    <v>XNYS</v>
    <v>XNYS</v>
    <v>1555 Blake Street, Suite 250, DENVER, CO, 80202 US</v>
    <v>24.58</v>
    <v>Software &amp; IT Services</v>
    <v>Stock</v>
    <v>44263.693489050784</v>
    <v>28</v>
    <v>23.17</v>
    <v>43643310000</v>
    <v>PALANTIR TECHNOLOGIES INC.</v>
    <v>PALANTIR TECHNOLOGIES INC.</v>
    <v>23.77</v>
    <v>0</v>
    <v>23.95</v>
    <v>23.715</v>
    <v>1822268000</v>
    <v>PLTR</v>
    <v>PALANTIR TECHNOLOGIES INC. (XNYS:PLTR)</v>
    <v>43942299</v>
    <v>111882336</v>
    <v>2003</v>
  </rv>
  <rv s="4">
    <v>29</v>
  </rv>
  <rv s="0">
    <v>https://www.bing.com/financeapi/forcetrigger?t=bpwnzr&amp;q=XNYS%3aFSLY&amp;form=skydnc</v>
    <v>Learn more on Bing</v>
  </rv>
  <rv s="7">
    <v>en-US</v>
    <v>bpwnzr</v>
    <v>268435456</v>
    <v>268435457</v>
    <v>1</v>
    <v>Powered by Refinitiv</v>
    <v>14</v>
    <v>FASTLY, INC. (XNYS:FSLY)</v>
    <v>12</v>
    <v>15</v>
    <v>Finance</v>
    <v>5</v>
    <v>136.5</v>
    <v>10.63</v>
    <v>1.62</v>
    <v>2.4985E-2</v>
    <v>USD</v>
    <v>Fastly, Inc. (Fastly) is a real-time content delivery network (CDN) company. The Company provides services in the areas of delivery, security, streaming media, e-commerce and private CDN. With Fastly, the user can manage traffic spikes and mitigate security threats. Fastly works with Google Cloud Platform to extend the user's infrastructure and application logic for content delivery, backend workload, infrastructure costs and scalability. Fastly’s streaming media services offer global delivery of video content, whether it’s live or video on demand (VOD). The Company’s edge cloud platform, designed from the ground up to be programmable and support agile software development. Its platform consists of key components: a programmable edge and a software-defined modern network. The programmable edge provides developers with real-time visibility and control, where they can write and deploy code to push application logic to the edge.</v>
    <v>939</v>
    <v>New York Stock Exchange</v>
    <v>XNYS</v>
    <v>XNYS</v>
    <v>475 Brannan St Ste 300, SAN FRANCISCO, CA, 94107-5420 US</v>
    <v>67.599999999999994</v>
    <v>Software &amp; IT Services</v>
    <v>Stock</v>
    <v>44263.693659247656</v>
    <v>31</v>
    <v>64.560199999999995</v>
    <v>7430664000</v>
    <v>FASTLY, INC.</v>
    <v>FASTLY, INC.</v>
    <v>66.44</v>
    <v>0</v>
    <v>64.84</v>
    <v>66.459999999999994</v>
    <v>114600000</v>
    <v>FSLY</v>
    <v>FASTLY, INC. (XNYS:FSLY)</v>
    <v>2680432</v>
    <v>5694501</v>
    <v>2011</v>
  </rv>
  <rv s="4">
    <v>32</v>
  </rv>
  <rv s="0">
    <v>http://en.wikipedia.org/wiki/Advanced_Micro_Devices</v>
    <v>Wikipedia</v>
  </rv>
  <rv s="1">
    <v>0</v>
    <v>34</v>
  </rv>
  <rv s="2">
    <v>6</v>
    <v>https://www.bing.com/th?id=AMMS_fbc39ac25bb1332e8095cd72ec19dc8e&amp;qlt=95</v>
    <v>35</v>
    <v>https://www.bing.com/images/search?form=xlimg&amp;q=advanced+micro+devices</v>
    <v>Image of ADVANCED MICRO DEVICES, INC.</v>
    <v/>
  </rv>
  <rv s="0">
    <v>https://www.bing.com/financeapi/forcetrigger?t=a1ndww&amp;q=XNAS%3aAMD&amp;form=skydnc</v>
    <v>Learn more on Bing</v>
  </rv>
  <rv s="3">
    <v>en-US</v>
    <v>a1ndww</v>
    <v>268435456</v>
    <v>268435457</v>
    <v>1</v>
    <v>Powered by Refinitiv</v>
    <v>0</v>
    <v>ADVANCED MICRO DEVICES, INC. (XNAS:AMD)</v>
    <v>3</v>
    <v>4</v>
    <v>Finance</v>
    <v>5</v>
    <v>99.23</v>
    <v>36.75</v>
    <v>2.1334</v>
    <v>-1.7</v>
    <v>-2.1650999999999997E-2</v>
    <v>USD</v>
    <v>Advanced Micro Devices, Inc. is a global semiconductor company. The Company is engaged in offering x86 microprocessors, as standalone devices or as incorporated into an accelerated processing unit (APU), chipsets, discrete graphics processing units (GPUs) and professional graphics, and server and embedded processors and semi-custom System-on-Chip (SoC) products and technology for game consoles. The Company's segments include the Computing and Graphics segment, and the Enterprise, Embedded and Semi-Custom segment. The Computing and Graphics segment primarily includes desktop and notebook processors and chipsets, discrete GPUs and professional graphics. The Enterprise, Embedded and Semi-Custom segment primarily includes server and embedded processors, semi-custom SoC products, development services, technology for game consoles and licensing portions of its intellectual property portfolio.</v>
    <v>12600</v>
    <v>Nasdaq Stock Market</v>
    <v>XNAS</v>
    <v>XNAS</v>
    <v>2485 Augustine Dr, SANTA CLARA, CA, 95054-3002 US</v>
    <v>79</v>
    <v>36</v>
    <v>Semiconductors &amp; Semiconductor Equipment</v>
    <v>Stock</v>
    <v>44263.693465902346</v>
    <v>37</v>
    <v>76.66</v>
    <v>94436910000</v>
    <v>ADVANCED MICRO DEVICES, INC.</v>
    <v>ADVANCED MICRO DEVICES, INC.</v>
    <v>78.09</v>
    <v>38.480400000000003</v>
    <v>78.52</v>
    <v>76.819999999999993</v>
    <v>1202712000</v>
    <v>AMD</v>
    <v>ADVANCED MICRO DEVICES, INC. (XNAS:AMD)</v>
    <v>20338151</v>
    <v>40877704</v>
    <v>1969</v>
  </rv>
  <rv s="4">
    <v>38</v>
  </rv>
  <rv s="0">
    <v>https://creativecommons.org/licenses/by-sa/3.0</v>
    <v>CC BY-SA 3.0</v>
  </rv>
  <rv s="0">
    <v>http://ru.wikipedia.org/wiki/Enbridge</v>
    <v>Wikipedia</v>
  </rv>
  <rv s="1">
    <v>40</v>
    <v>41</v>
  </rv>
  <rv s="2">
    <v>6</v>
    <v>https://www.bing.com/th?id=AMMS_2dff174a9486b673dc917f30af9876c5&amp;qlt=95</v>
    <v>42</v>
    <v>https://www.bing.com/images/search?form=xlimg&amp;q=enbridge</v>
    <v>Image of Enbridge Inc.</v>
    <v/>
  </rv>
  <rv s="0">
    <v>https://www.bing.com/financeapi/forcetrigger?t=a1rykr&amp;q=XNYS%3aENB&amp;form=skydnc</v>
    <v>Learn more on Bing</v>
  </rv>
  <rv s="3">
    <v>en-US</v>
    <v>a1rykr</v>
    <v>268435456</v>
    <v>268435457</v>
    <v>1</v>
    <v>Powered by Refinitiv</v>
    <v>0</v>
    <v>Enbridge Inc. (XNYS:ENB)</v>
    <v>3</v>
    <v>16</v>
    <v>Finance</v>
    <v>5</v>
    <v>36.148299999999999</v>
    <v>22.57</v>
    <v>0.91659999999999997</v>
    <v>0.2631</v>
    <v>7.4239999999999992E-3</v>
    <v>USD</v>
    <v>Enbridge Inc. is an energy infrastructure company with business platforms that include a network of crude oil, liquids and natural gas pipelines, regulated natural gas distribution utilities and renewable power generation. It operates through five segments: Liquids Pipelines, Gas Transmission and Midstream, Gas Distribution, Green Power and Transmission, and Energy Services. Liquids Pipelines consists of pipelines and related terminals that transport various grades of crude oil and other liquid hydrocarbons. Gas Transmission and Midstream consists of its investments in natural gas pipelines and gathering and processing facilities, including US Gas Transmission, and Canadian Gas Transmission and Midstream. Gas Distribution consists of its natural gas utility operations. Green Power and Transmission consists of investments in renewable energy assets and transmission facilities. The Energy Services businesses undertake physical commodity marketing activity and logistical services.</v>
    <v>11200</v>
    <v>New York Stock Exchange</v>
    <v>XNYS</v>
    <v>XNYS</v>
    <v>Suite 200, 425 - 1 Street S.W., CALGARY, AB, T2P 3L8 CA</v>
    <v>35.71</v>
    <v>43</v>
    <v>Oil &amp; Gas Related Equipment and Services</v>
    <v>Stock</v>
    <v>44263.693492685154</v>
    <v>44</v>
    <v>35.344999999999999</v>
    <v>90802970000</v>
    <v>Enbridge Inc.</v>
    <v>Enbridge Inc.</v>
    <v>35.51</v>
    <v>30.518699999999999</v>
    <v>35.44</v>
    <v>35.703099999999999</v>
    <v>2025496000</v>
    <v>ENB</v>
    <v>Enbridge Inc. (XNYS:ENB)</v>
    <v>1535757</v>
    <v>5987523</v>
    <v>1987</v>
  </rv>
  <rv s="4">
    <v>45</v>
  </rv>
  <rv s="0">
    <v>http://en.wikipedia.org/wiki/Boeing</v>
    <v>Wikipedia</v>
  </rv>
  <rv s="1">
    <v>0</v>
    <v>47</v>
  </rv>
  <rv s="2">
    <v>6</v>
    <v>https://www.bing.com/th?id=AMMS_c8c8e7179d9d683a1466fb7a13598c3d&amp;qlt=95</v>
    <v>48</v>
    <v>https://www.bing.com/images/search?form=xlimg&amp;q=boeing</v>
    <v>Image of THE BOEING COMPANY</v>
    <v/>
  </rv>
  <rv s="0">
    <v>https://www.bing.com/financeapi/forcetrigger?t=a1o4ec&amp;q=XNYS%3aBA&amp;form=skydnc</v>
    <v>Learn more on Bing</v>
  </rv>
  <rv s="3">
    <v>en-US</v>
    <v>a1o4ec</v>
    <v>268435456</v>
    <v>268435457</v>
    <v>1</v>
    <v>Powered by Refinitiv</v>
    <v>0</v>
    <v>THE BOEING COMPANY (XNYS:BA)</v>
    <v>3</v>
    <v>4</v>
    <v>Finance</v>
    <v>5</v>
    <v>244.08</v>
    <v>89</v>
    <v>1.6319999999999999</v>
    <v>5.17</v>
    <v>2.3161000000000001E-2</v>
    <v>USD</v>
    <v>The Boeing Company is an aerospace firm. The Company operates in four segments: Commercial Airplanes (BCA); Defense, Space &amp; Security (BDS); Global Services (BGS), and Boeing Capital (BCC). BCA segment develops, produces and markets commercial jet aircraft and provides fleet support services, principally to the commercial airline industry worldwide. BDS segment is engaged in the research, development, production and modification of manned and unmanned military aircraft and weapons systems for strike, surveillance and mobility. BGS segment provides services to commercial and defense customers worldwide. BCC's segment portfolio consists of equipment under operating leases, finance leases, notes and other receivables and assets held for sale.</v>
    <v>141000</v>
    <v>New York Stock Exchange</v>
    <v>XNYS</v>
    <v>XNYS</v>
    <v>100 N Riverside Plz, CHICAGO, IL, 60606-1596 US</v>
    <v>229.89</v>
    <v>49</v>
    <v>Aerospace &amp; Defense</v>
    <v>Stock</v>
    <v>44263.693658414064</v>
    <v>50</v>
    <v>224.32</v>
    <v>130136600000</v>
    <v>THE BOEING COMPANY</v>
    <v>THE BOEING COMPANY</v>
    <v>226.41</v>
    <v>0</v>
    <v>223.22</v>
    <v>228.39</v>
    <v>582996900</v>
    <v>BA</v>
    <v>THE BOEING COMPANY (XNYS:BA)</v>
    <v>7107985</v>
    <v>14591224</v>
    <v>1934</v>
  </rv>
  <rv s="4">
    <v>51</v>
  </rv>
</rvData>
</file>

<file path=xl/richData/rdrichvaluestructure.xml><?xml version="1.0" encoding="utf-8"?>
<rvStructures xmlns="http://schemas.microsoft.com/office/spreadsheetml/2017/richdata" count="8">
  <s t="_hyperlink">
    <k n="Address" t="s"/>
    <k n="Text" t="s"/>
  </s>
  <s t="_sourceattribution">
    <k n="License" t="r"/>
    <k n="Source" t="r"/>
  </s>
  <s t="_imageurl">
    <k n="_Provider" t="spb"/>
    <k n="Address" t="s"/>
    <k n="Attribution" t="r"/>
    <k n="More Images Address" t="s"/>
    <k n="Text" t="s"/>
    <k n="Blip Identifier" t="s"/>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4">
    <a count="44">
      <v t="s">%EntityServiceId</v>
      <v t="s">_Format</v>
      <v t="s">%EntitySubDomainId</v>
      <v t="s">%IsRefreshable</v>
      <v t="s">%EntityCulture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_Display</v>
    </a>
    <a count="34">
      <v t="s">%EntityServiceId</v>
      <v t="s">_Format</v>
      <v t="s">%EntitySubDomainId</v>
      <v t="s">%IsRefreshable</v>
      <v t="s">%EntityCulture</v>
      <v t="s">%EntityId</v>
      <v t="s">_Icon</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v t="s">_Display</v>
    </a>
    <a count="41">
      <v t="s">%EntityServiceId</v>
      <v t="s">_Format</v>
      <v t="s">%EntitySubDomainId</v>
      <v t="s">%IsRefreshable</v>
      <v t="s">%EntityCulture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LearnMoreOnLink</v>
      <v t="s">ExchangeID</v>
      <v t="s">%ProviderInfo</v>
      <v t="s">_Display</v>
    </a>
    <a count="42">
      <v t="s">%EntityServiceId</v>
      <v t="s">_Format</v>
      <v t="s">%EntitySubDomainId</v>
      <v t="s">%IsRefreshable</v>
      <v t="s">%EntityCulture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v t="s">_Display</v>
    </a>
  </spbArrays>
  <spbData count="17">
    <spb s="0">
      <v>0</v>
    </spb>
    <spb s="1">
      <v>0</v>
      <v>0</v>
    </spb>
    <spb s="2">
      <v>0</v>
      <v>0</v>
      <v>0</v>
    </spb>
    <spb s="3">
      <v>1</v>
      <v>2</v>
      <v>2</v>
      <v>2</v>
    </spb>
    <spb s="4">
      <v>1</v>
      <v>2</v>
      <v>2</v>
      <v>1</v>
      <v>3</v>
      <v>1</v>
      <v>4</v>
      <v>1</v>
      <v>1</v>
      <v>5</v>
      <v>5</v>
      <v>6</v>
      <v>7</v>
      <v>1</v>
      <v>1</v>
      <v>1</v>
      <v>5</v>
      <v>8</v>
      <v>9</v>
      <v>10</v>
      <v>11</v>
      <v>10</v>
      <v>5</v>
    </spb>
    <spb s="5">
      <v>Real-Time Nasdaq Last Sale</v>
      <v>from previous close</v>
      <v>from previous close</v>
      <v>Source: Nasdaq Last Sale</v>
      <v>GMT</v>
    </spb>
    <spb s="6">
      <v>Powered by Refinitiv</v>
    </spb>
    <spb s="0">
      <v>1</v>
    </spb>
    <spb s="7">
      <v>2</v>
      <v>2</v>
    </spb>
    <spb s="8">
      <v>12</v>
      <v>2</v>
      <v>12</v>
      <v>3</v>
      <v>12</v>
      <v>12</v>
      <v>12</v>
      <v>5</v>
      <v>6</v>
      <v>13</v>
      <v>12</v>
      <v>12</v>
      <v>6</v>
      <v>12</v>
      <v>8</v>
      <v>9</v>
      <v>10</v>
      <v>10</v>
    </spb>
    <spb s="9">
      <v>Delayed 20 minutes</v>
      <v>from previous close</v>
      <v>from previous close</v>
      <v>GMT</v>
    </spb>
    <spb s="0">
      <v>2</v>
    </spb>
    <spb s="10">
      <v>2</v>
      <v>2</v>
      <v>2</v>
    </spb>
    <spb s="11">
      <v>1</v>
      <v>2</v>
      <v>1</v>
      <v>3</v>
      <v>1</v>
      <v>1</v>
      <v>1</v>
      <v>5</v>
      <v>5</v>
      <v>6</v>
      <v>14</v>
      <v>1</v>
      <v>1</v>
      <v>1</v>
      <v>5</v>
      <v>8</v>
      <v>9</v>
      <v>10</v>
      <v>10</v>
      <v>5</v>
    </spb>
    <spb s="0">
      <v>3</v>
    </spb>
    <spb s="12">
      <v>1</v>
      <v>2</v>
      <v>1</v>
      <v>3</v>
      <v>1</v>
      <v>1</v>
      <v>1</v>
      <v>5</v>
      <v>5</v>
      <v>6</v>
      <v>7</v>
      <v>1</v>
      <v>1</v>
      <v>1</v>
      <v>5</v>
      <v>8</v>
      <v>9</v>
      <v>10</v>
      <v>11</v>
      <v>10</v>
      <v>5</v>
    </spb>
    <spb s="4">
      <v>1</v>
      <v>2</v>
      <v>2</v>
      <v>1</v>
      <v>3</v>
      <v>1</v>
      <v>4</v>
      <v>1</v>
      <v>1</v>
      <v>5</v>
      <v>5</v>
      <v>6</v>
      <v>13</v>
      <v>1</v>
      <v>1</v>
      <v>1</v>
      <v>5</v>
      <v>8</v>
      <v>9</v>
      <v>10</v>
      <v>11</v>
      <v>10</v>
      <v>5</v>
    </spb>
  </spbData>
</supportingPropertyBags>
</file>

<file path=xl/richData/rdsupportingpropertybagstructure.xml><?xml version="1.0" encoding="utf-8"?>
<spbStructures xmlns="http://schemas.microsoft.com/office/spreadsheetml/2017/richdata2" count="13">
  <s>
    <k n="^Order" t="spba"/>
  </s>
  <s>
    <k n="ShowInDotNotation" t="b"/>
    <k n="ShowInAutoComplete" t="b"/>
  </s>
  <s>
    <k n="ShowInCardView" t="b"/>
    <k n="ShowInDotNotation" t="b"/>
    <k n="ShowInAutoComplete" t="b"/>
  </s>
  <s>
    <k n="Image" t="spb"/>
    <k n="ExchangeID" t="spb"/>
    <k n="UniqueName" t="spb"/>
    <k n="%ProviderInfo" t="spb"/>
  </s>
  <s>
    <k n="Low" t="i"/>
    <k n="P/E" t="i"/>
    <k n="Beta" t="i"/>
    <k n="High" t="i"/>
    <k n="Name" t="i"/>
    <k n="Open" t="i"/>
    <k n="Image"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s>
  <s>
    <k n="Price" t="s"/>
    <k n="Change" t="s"/>
    <k n="Change (%)" t="s"/>
    <k n="ExchangeID" t="s"/>
    <k n="Last trade time" t="s"/>
  </s>
  <s>
    <k n="name" t="s"/>
  </s>
  <s>
    <k n="UniqueName" t="spb"/>
    <k n="%ProviderInfo" t="spb"/>
  </s>
  <s>
    <k n="Low" t="i"/>
    <k n="Beta" t="i"/>
    <k n="High" t="i"/>
    <k n="Name" t="i"/>
    <k n="Open" t="i"/>
    <k n="Price" t="i"/>
    <k n="Change" t="i"/>
    <k n="Volume" t="i"/>
    <k n="Change (%)" t="i"/>
    <k n="Market cap" t="i"/>
    <k n="52 week low" t="i"/>
    <k n="52 week high" t="i"/>
    <k n="Expense ratio" t="i"/>
    <k n="Previous close" t="i"/>
    <k n="_DisplayString" t="i"/>
    <k n="Last trade time" t="i"/>
    <k n="%EntityServiceId" t="i"/>
    <k n="%EntitySubDomainId" t="i"/>
  </s>
  <s>
    <k n="Price" t="s"/>
    <k n="Change" t="s"/>
    <k n="Change (%)" t="s"/>
    <k n="Last trade time" t="s"/>
  </s>
  <s>
    <k n="ExchangeID" t="spb"/>
    <k n="UniqueName" t="spb"/>
    <k n="%ProviderInfo" t="spb"/>
  </s>
  <s>
    <k n="Low" t="i"/>
    <k n="P/E" t="i"/>
    <k n="High" t="i"/>
    <k n="Name" t="i"/>
    <k n="Open" t="i"/>
    <k n="Price" t="i"/>
    <k n="Change" t="i"/>
    <k n="Volume" t="i"/>
    <k n="Employees" t="i"/>
    <k n="Change (%)" t="i"/>
    <k n="Market cap" t="i"/>
    <k n="52 week low" t="i"/>
    <k n="52 week high" t="i"/>
    <k n="Previous close" t="i"/>
    <k n="Volume average" t="i"/>
    <k n="_DisplayString" t="i"/>
    <k n="Last trade time" t="i"/>
    <k n="%EntityServiceId" t="i"/>
    <k n="%EntitySubDomainId" t="i"/>
    <k n="Shares outstanding" t="i"/>
  </s>
  <s>
    <k n="Low" t="i"/>
    <k n="P/E" t="i"/>
    <k n="High" t="i"/>
    <k n="Name" t="i"/>
    <k n="Open"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1">
    <x:dxf>
      <x:numFmt numFmtId="168" formatCode="_([$$-409]* #,##0.00_);_([$$-409]* \(#,##0.00\);_([$$-409]* &quot;-&quot;??_);_(@_)"/>
    </x:dxf>
    <x:dxf>
      <x:numFmt numFmtId="4" formatCode="#,##0.00"/>
    </x:dxf>
    <x:dxf>
      <x:numFmt numFmtId="3" formatCode="#,##0"/>
    </x:dxf>
    <x:dxf>
      <x:numFmt numFmtId="14" formatCode="0.00%"/>
    </x:dxf>
    <x:dxf>
      <x:numFmt numFmtId="167" formatCode="_([$$-409]* #,##0_);_([$$-409]* \(#,##0\);_([$$-409]* &quot;-&quot;_);_(@_)"/>
    </x:dxf>
    <x:dxf>
      <x:numFmt numFmtId="27" formatCode="yyyy/mm/dd\ h:mm"/>
    </x:dxf>
    <x:dxf>
      <x:numFmt numFmtId="2" formatCode="0.00"/>
    </x:dxf>
    <x:dxf>
      <x:numFmt numFmtId="1" formatCode="0"/>
    </x:dxf>
    <x:dxf>
      <x:numFmt numFmtId="166" formatCode="_-[$$-1009]* #,##0.00_-;\-[$$-1009]* #,##0.00_-;_-[$$-1009]* &quot;-&quot;??_-;_-@_-"/>
    </x:dxf>
    <x:dxf>
      <x:numFmt numFmtId="165" formatCode="_-[$$-1009]* #,##0_-;\-[$$-1009]* #,##0_-;_-[$$-1009]* &quot;-&quot;_-;_-@_-"/>
    </x:dxf>
    <x:dxf>
      <x:numFmt numFmtId="164" formatCode="_ [$¥-804]* #,##0_ ;_ [$¥-804]* \-#,##0_ ;_ [$¥-804]* &quot;-&quot;_ ;_ @_ "/>
    </x:dxf>
  </dxfs>
  <richProperties>
    <rPr n="IsTitleField" t="b"/>
    <rPr n="IsHeroField" t="b"/>
    <rPr n="ShouldShowInCell" t="b"/>
  </richProperties>
  <richStyles>
    <rSty dxfid="0"/>
    <rSty dxfid="1"/>
    <rSty>
      <rpv i="0">1</rpv>
    </rSty>
    <rSty>
      <rpv i="1">1</rpv>
    </rSty>
    <rSty dxfid="2"/>
    <rSty dxfid="3"/>
    <rSty dxfid="4"/>
    <rSty>
      <rpv i="2">1</rpv>
    </rSty>
    <rSty dxfid="5"/>
    <rSty dxfid="6"/>
    <rSty dxfid="7"/>
    <rSty dxfid="8"/>
    <rSty dxfid="9"/>
    <rSty dxfid="10"/>
  </richStyles>
</richStyleSheet>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04ED11F-5752-4D01-B006-6B13D0360C82}" name="Portfolio" displayName="Portfolio" ref="A5:L12" totalsRowShown="0" headerRowDxfId="31" dataDxfId="30">
  <autoFilter ref="A5:L12" xr:uid="{10BB8B38-8570-4D25-B643-C72011CFF5E4}"/>
  <tableColumns count="12">
    <tableColumn id="8" xr3:uid="{B68CC7DF-AE65-45FA-BDED-B28EF6F033DB}" name="TICKER" dataDxfId="29"/>
    <tableColumn id="2" xr3:uid="{A5C3E641-090F-4DCF-87C2-44672482F199}" name="# SHARES" dataDxfId="28"/>
    <tableColumn id="3" xr3:uid="{A1DABF59-679A-449F-A77E-4B73B7396D64}" name="AVG PRICE" dataDxfId="27"/>
    <tableColumn id="1" xr3:uid="{8EFA519A-5F2D-4D2C-B9DA-6939603149C8}" name="CURRENCY" dataDxfId="26"/>
    <tableColumn id="11" xr3:uid="{16F82558-C98D-495D-A871-5D37864470AA}" name="COST [CAD]" dataDxfId="25">
      <calculatedColumnFormula>IF(Portfolio[[#This Row],[CURRENCY]] ="USD", Portfolio[[#This Row],['# SHARES]]*Portfolio[[#This Row],[AVG PRICE]]*$F$2,Portfolio[[#This Row],['# SHARES]]*Portfolio[[#This Row],[AVG PRICE]])</calculatedColumnFormula>
    </tableColumn>
    <tableColumn id="4" xr3:uid="{1520E1E2-8393-4042-8FEE-62FC1EAB6A50}" name="CURRNT PRICE [USD]" dataDxfId="24">
      <calculatedColumnFormula array="1">IF(_FV(Portfolio[[#This Row],[TICKER]],"Currency") = "USD",_FV( Portfolio[[#This Row],[TICKER]],"Price"), "-")</calculatedColumnFormula>
    </tableColumn>
    <tableColumn id="5" xr3:uid="{C38C4E02-5A4C-43D6-9F22-D2AAB63209DB}" name="CURRENT PRICE [CAD]" dataDxfId="23">
      <calculatedColumnFormula array="1">IF(_FV(Portfolio[[#This Row],[TICKER]],"Currency") = "USD",_FV( Portfolio[[#This Row],[TICKER]],"Price") * $F$2,_FV( Portfolio[[#This Row],[TICKER]],"Price"))</calculatedColumnFormula>
    </tableColumn>
    <tableColumn id="9" xr3:uid="{94FC1FA4-C3E3-4277-85C6-226D7021A4AD}" name="CURRENT VALUE [USD]" dataDxfId="22">
      <calculatedColumnFormula array="1">IF(_FV(Portfolio[[#This Row],[TICKER]],"Currency") = "USD",_FV( Portfolio[[#This Row],[TICKER]],"Price")*Portfolio[[#This Row],['# SHARES]], "-")</calculatedColumnFormula>
    </tableColumn>
    <tableColumn id="6" xr3:uid="{8A9343EB-7A01-46DD-ABE6-168D807BACF6}" name="CURRENT VALUE [CAD]" dataDxfId="21">
      <calculatedColumnFormula>Portfolio[[#This Row],['# SHARES]]*Portfolio[[#This Row],[CURRENT PRICE '[CAD']]]</calculatedColumnFormula>
    </tableColumn>
    <tableColumn id="7" xr3:uid="{D2CD1837-EE71-4C76-861D-3EF749B8CA86}" name="PROFIT/LOSS [CAD]" dataDxfId="20">
      <calculatedColumnFormula>(Portfolio[[#This Row],[CURRENT VALUE '[CAD']]]-Portfolio[[#This Row],[COST '[CAD']]])</calculatedColumnFormula>
    </tableColumn>
    <tableColumn id="10" xr3:uid="{21DD5FFD-652A-44D3-99F5-433F01B27860}" name="PROFIT/LOSS [%]" dataDxfId="19">
      <calculatedColumnFormula>IFERROR( ( Portfolio[[#This Row],[CURRENT VALUE '[CAD']]] / Portfolio[[#This Row],[COST '[CAD']]])-1,0)</calculatedColumnFormula>
    </tableColumn>
    <tableColumn id="12" xr3:uid="{2736434D-A0D3-44BE-8C63-0C8B7942BFDC}" name="SYMBOL" dataDxfId="18">
      <calculatedColumnFormula>_FV(Portfolio[[#This Row],[TICKER]],"Ticker symbol",TRUE)</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1C13B0D-C84E-4A32-9194-769FFB3455FB}" name="Watchlist" displayName="Watchlist" ref="A3:K9" totalsRowShown="0" headerRowDxfId="13" dataDxfId="12">
  <autoFilter ref="A3:K9" xr:uid="{75B5F4F1-A2DB-4C8E-A468-BECD08ED51E7}"/>
  <tableColumns count="11">
    <tableColumn id="1" xr3:uid="{54EEB260-3743-48C9-B285-63F4FBE4E926}" name="TICKER" dataDxfId="11"/>
    <tableColumn id="3" xr3:uid="{F29C8067-F635-4884-8F61-9AABFA8EF51E}" name="GROUP" dataDxfId="10"/>
    <tableColumn id="5" xr3:uid="{71A6BC3F-5361-4EB6-BB01-AF61FE0A919C}" name="CURRENCY" dataDxfId="9">
      <calculatedColumnFormula array="1">_FV(A4,"Currency")</calculatedColumnFormula>
    </tableColumn>
    <tableColumn id="6" xr3:uid="{8A68C440-2FC8-4D91-AFAE-C274FB308DFD}" name="YIELD" dataDxfId="8">
      <calculatedColumnFormula array="1">_FV(A4,"Change (%)",TRUE)</calculatedColumnFormula>
    </tableColumn>
    <tableColumn id="7" xr3:uid="{752EB294-3CC1-4ADC-B571-709A28D91EBB}" name="PRICE" dataDxfId="7">
      <calculatedColumnFormula array="1">_FV(A4,"Price")</calculatedColumnFormula>
    </tableColumn>
    <tableColumn id="8" xr3:uid="{6CD8CED7-C204-447C-9829-927EE362D267}" name="PREVIOUS CLOSE" dataDxfId="6">
      <calculatedColumnFormula array="1">_FV(A4,"Previous close",TRUE)</calculatedColumnFormula>
    </tableColumn>
    <tableColumn id="9" xr3:uid="{943FAB29-B3A7-4314-BC45-960E36A7D17A}" name="52W HIGH" dataDxfId="5">
      <calculatedColumnFormula array="1">_FV(A4,"52 week high",TRUE)</calculatedColumnFormula>
    </tableColumn>
    <tableColumn id="10" xr3:uid="{91E4D2AF-49C7-4818-B2AB-D01F6E084C25}" name="52 WEEK LOW" dataDxfId="4">
      <calculatedColumnFormula array="1">_FV(A4,"52 week low",TRUE)</calculatedColumnFormula>
    </tableColumn>
    <tableColumn id="11" xr3:uid="{1E23BF9E-474F-4762-938A-3F1D15B0D359}" name="MARKET CAP" dataDxfId="3">
      <calculatedColumnFormula array="1">_FV(A4,"Market cap",TRUE)</calculatedColumnFormula>
    </tableColumn>
    <tableColumn id="12" xr3:uid="{A7AF834A-A0C1-4885-AD8D-9E4BF7D27BBA}" name="VOLUME" dataDxfId="2">
      <calculatedColumnFormula array="1">_FV(A4,"Volume")</calculatedColumnFormula>
    </tableColumn>
    <tableColumn id="13" xr3:uid="{5166808B-F207-4E19-B318-CC809C411E47}" name="AVG. VOLUME" dataDxfId="1">
      <calculatedColumnFormula array="1">_FV(A4,"Volume average",TRUE)</calculatedColumnFormula>
    </tableColum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0CE775-4013-4B72-9E04-3E1CBF27F94D}" name="Canadian_Dollar_Exchange_Rates_Table_Converter" displayName="Canadian_Dollar_Exchange_Rates_Table_Converter" ref="A3:C13" tableType="queryTable" totalsRowShown="0">
  <autoFilter ref="A3:C13" xr:uid="{49D0A53E-4EEA-490A-A0B5-E205FFFDACDF}"/>
  <tableColumns count="3">
    <tableColumn id="1" xr3:uid="{70159C05-2EC0-4855-A93E-A371688A245D}" uniqueName="1" name="Canadian Dollar" queryTableFieldId="1" dataDxfId="0"/>
    <tableColumn id="2" xr3:uid="{A987A274-ACFE-4F55-9AB7-4DB19FB1DDC0}" uniqueName="2" name="1.00 CAD" queryTableFieldId="2"/>
    <tableColumn id="3" xr3:uid="{B8585F65-1E23-4634-A1BD-DD7180AF9942}" uniqueName="3" name="inv. 1.00 CAD"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9003F-5BF1-45FE-8BC6-0823AE474D03}">
  <sheetPr codeName="Sheet1">
    <tabColor theme="7"/>
  </sheetPr>
  <dimension ref="A1"/>
  <sheetViews>
    <sheetView showGridLines="0" zoomScale="55" zoomScaleNormal="55" workbookViewId="0">
      <selection activeCell="R62" sqref="R62"/>
    </sheetView>
  </sheetViews>
  <sheetFormatPr defaultRowHeight="14.4"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A7135-7780-4F01-867C-F8617EC02C45}">
  <sheetPr codeName="Sheet2">
    <tabColor theme="4"/>
  </sheetPr>
  <dimension ref="A1:M12"/>
  <sheetViews>
    <sheetView tabSelected="1" zoomScaleNormal="100" workbookViewId="0">
      <selection activeCell="A10" sqref="A10"/>
    </sheetView>
  </sheetViews>
  <sheetFormatPr defaultRowHeight="14.4" x14ac:dyDescent="0.3"/>
  <cols>
    <col min="1" max="1" width="57.44140625" customWidth="1"/>
    <col min="2" max="5" width="16.33203125" customWidth="1"/>
    <col min="6" max="6" width="18.88671875" customWidth="1"/>
    <col min="7" max="7" width="20.77734375" customWidth="1"/>
    <col min="8" max="8" width="20.44140625" customWidth="1"/>
    <col min="9" max="9" width="21" customWidth="1"/>
    <col min="10" max="12" width="16.33203125" customWidth="1"/>
    <col min="13" max="13" width="14.77734375" customWidth="1"/>
    <col min="14" max="14" width="13.5546875" customWidth="1"/>
    <col min="15" max="15" width="17.109375" customWidth="1"/>
    <col min="16" max="19" width="11.33203125" customWidth="1"/>
  </cols>
  <sheetData>
    <row r="1" spans="1:13" ht="22.2" customHeight="1" x14ac:dyDescent="0.3">
      <c r="A1" s="10" t="s">
        <v>10</v>
      </c>
      <c r="B1" s="16" t="s">
        <v>2</v>
      </c>
      <c r="C1" s="16" t="s">
        <v>7</v>
      </c>
      <c r="D1" s="16" t="s">
        <v>9</v>
      </c>
      <c r="F1" s="33" t="s">
        <v>38</v>
      </c>
      <c r="G1" s="33"/>
    </row>
    <row r="2" spans="1:13" ht="14.4" customHeight="1" x14ac:dyDescent="0.3">
      <c r="A2" s="35" t="s">
        <v>6</v>
      </c>
      <c r="B2" s="37">
        <f>SUBTOTAL(9,Portfolio[COST '[CAD']])</f>
        <v>5909.6112471999995</v>
      </c>
      <c r="C2" s="38">
        <f>SUM(9, Portfolio[CURRENT VALUE '[CAD']])-B2</f>
        <v>179.55201037000006</v>
      </c>
      <c r="D2" s="37">
        <f>SUBTOTAL(9,Portfolio[CURRENT VALUE '[CAD']])</f>
        <v>6080.1632575699996</v>
      </c>
      <c r="E2" s="11"/>
      <c r="F2" s="34">
        <f>Backend!C4</f>
        <v>1.2665029999999999</v>
      </c>
      <c r="G2" s="34"/>
      <c r="H2" s="13"/>
    </row>
    <row r="3" spans="1:13" ht="14.4" customHeight="1" x14ac:dyDescent="0.3">
      <c r="A3" s="36"/>
      <c r="B3" s="37"/>
      <c r="C3" s="38"/>
      <c r="D3" s="37"/>
      <c r="E3" s="11"/>
      <c r="F3" s="34"/>
      <c r="G3" s="34"/>
      <c r="H3" s="13"/>
    </row>
    <row r="5" spans="1:13" ht="29.4" customHeight="1" x14ac:dyDescent="0.3">
      <c r="A5" s="3" t="s">
        <v>0</v>
      </c>
      <c r="B5" s="4" t="s">
        <v>1</v>
      </c>
      <c r="C5" s="4" t="s">
        <v>39</v>
      </c>
      <c r="D5" s="4" t="s">
        <v>19</v>
      </c>
      <c r="E5" s="5" t="s">
        <v>23</v>
      </c>
      <c r="F5" s="5" t="s">
        <v>20</v>
      </c>
      <c r="G5" s="5" t="s">
        <v>4</v>
      </c>
      <c r="H5" s="5" t="s">
        <v>18</v>
      </c>
      <c r="I5" s="5" t="s">
        <v>3</v>
      </c>
      <c r="J5" s="5" t="s">
        <v>5</v>
      </c>
      <c r="K5" s="5" t="s">
        <v>52</v>
      </c>
      <c r="L5" s="6" t="s">
        <v>8</v>
      </c>
      <c r="M5" s="1"/>
    </row>
    <row r="6" spans="1:13" x14ac:dyDescent="0.3">
      <c r="A6" s="17" t="e" vm="1">
        <v>#VALUE!</v>
      </c>
      <c r="B6" s="18">
        <v>1</v>
      </c>
      <c r="C6" s="19">
        <v>2214.35</v>
      </c>
      <c r="D6" s="19" t="s">
        <v>22</v>
      </c>
      <c r="E6" s="20">
        <f>IF(Portfolio[[#This Row],[CURRENCY]] ="USD", Portfolio[[#This Row],['# SHARES]]*Portfolio[[#This Row],[AVG PRICE]]*$F$2,Portfolio[[#This Row],['# SHARES]]*Portfolio[[#This Row],[AVG PRICE]])</f>
        <v>2804.4809180499997</v>
      </c>
      <c r="F6" s="21" cm="1">
        <f t="array" ref="F6">IF(_FV(Portfolio[[#This Row],[TICKER]],"Currency") = "USD",_FV( Portfolio[[#This Row],[TICKER]],"Price"), "-")</f>
        <v>2099.85</v>
      </c>
      <c r="G6" s="20" cm="1">
        <f t="array" ref="G6">IF(_FV(Portfolio[[#This Row],[TICKER]],"Currency") = "USD",_FV( Portfolio[[#This Row],[TICKER]],"Price") * $F$2,_FV( Portfolio[[#This Row],[TICKER]],"Price"))</f>
        <v>2659.4663245499996</v>
      </c>
      <c r="H6" s="20" cm="1">
        <f t="array" ref="H6">IF(_FV(Portfolio[[#This Row],[TICKER]],"Currency") = "USD",_FV( Portfolio[[#This Row],[TICKER]],"Price")*Portfolio[[#This Row],['# SHARES]], "-")</f>
        <v>2099.85</v>
      </c>
      <c r="I6" s="20">
        <f>Portfolio[[#This Row],['# SHARES]]*Portfolio[[#This Row],[CURRENT PRICE '[CAD']]]</f>
        <v>2659.4663245499996</v>
      </c>
      <c r="J6" s="31">
        <f>(Portfolio[[#This Row],[CURRENT VALUE '[CAD']]]-Portfolio[[#This Row],[COST '[CAD']]])</f>
        <v>-145.01459350000005</v>
      </c>
      <c r="K6" s="32">
        <f>IFERROR( ( Portfolio[[#This Row],[CURRENT VALUE '[CAD']]] / Portfolio[[#This Row],[COST '[CAD']]])-1,0)</f>
        <v>-5.1708176214238954E-2</v>
      </c>
      <c r="L6" s="22" t="str">
        <f>_FV(Portfolio[[#This Row],[TICKER]],"Ticker symbol",TRUE)</f>
        <v>GOOG</v>
      </c>
    </row>
    <row r="7" spans="1:13" x14ac:dyDescent="0.3">
      <c r="A7" s="23" t="e" vm="2">
        <v>#VALUE!</v>
      </c>
      <c r="B7" s="24">
        <v>33</v>
      </c>
      <c r="C7" s="25">
        <v>24.68</v>
      </c>
      <c r="D7" s="25" t="s">
        <v>21</v>
      </c>
      <c r="E7" s="20">
        <f>IF(Portfolio[[#This Row],[CURRENCY]] ="USD", Portfolio[[#This Row],['# SHARES]]*Portfolio[[#This Row],[AVG PRICE]]*$F$2,Portfolio[[#This Row],['# SHARES]]*Portfolio[[#This Row],[AVG PRICE]])</f>
        <v>814.43999999999994</v>
      </c>
      <c r="F7" s="21" t="str" cm="1">
        <f t="array" ref="F7">IF(_FV(Portfolio[[#This Row],[TICKER]],"Currency") = "USD",_FV( Portfolio[[#This Row],[TICKER]],"Price"), "-")</f>
        <v>-</v>
      </c>
      <c r="G7" s="20" cm="1">
        <f t="array" ref="G7">IF(_FV(Portfolio[[#This Row],[TICKER]],"Currency") = "USD",_FV( Portfolio[[#This Row],[TICKER]],"Price") * $F$2,_FV( Portfolio[[#This Row],[TICKER]],"Price"))</f>
        <v>29.68</v>
      </c>
      <c r="H7" s="20" t="str" cm="1">
        <f t="array" ref="H7">IF(_FV(Portfolio[[#This Row],[TICKER]],"Currency") = "USD",_FV( Portfolio[[#This Row],[TICKER]],"Price")*Portfolio[[#This Row],['# SHARES]], "-")</f>
        <v>-</v>
      </c>
      <c r="I7" s="20">
        <f>Portfolio[[#This Row],['# SHARES]]*Portfolio[[#This Row],[CURRENT PRICE '[CAD']]]</f>
        <v>979.43999999999994</v>
      </c>
      <c r="J7" s="31">
        <f>(Portfolio[[#This Row],[CURRENT VALUE '[CAD']]]-Portfolio[[#This Row],[COST '[CAD']]])</f>
        <v>165</v>
      </c>
      <c r="K7" s="32">
        <f>IFERROR( ( Portfolio[[#This Row],[CURRENT VALUE '[CAD']]] / Portfolio[[#This Row],[COST '[CAD']]])-1,0)</f>
        <v>0.20259319286871968</v>
      </c>
      <c r="L7" s="22" t="str">
        <f>_FV(Portfolio[[#This Row],[TICKER]],"Ticker symbol",TRUE)</f>
        <v>VGRO</v>
      </c>
    </row>
    <row r="8" spans="1:13" x14ac:dyDescent="0.3">
      <c r="A8" s="23" t="e" vm="3">
        <v>#VALUE!</v>
      </c>
      <c r="B8" s="24">
        <v>3</v>
      </c>
      <c r="C8" s="25">
        <v>117.53</v>
      </c>
      <c r="D8" s="25" t="s">
        <v>22</v>
      </c>
      <c r="E8" s="20">
        <f>IF(Portfolio[[#This Row],[CURRENCY]] ="USD", Portfolio[[#This Row],['# SHARES]]*Portfolio[[#This Row],[AVG PRICE]]*$F$2,Portfolio[[#This Row],['# SHARES]]*Portfolio[[#This Row],[AVG PRICE]])</f>
        <v>446.55629277000003</v>
      </c>
      <c r="F8" s="21" cm="1">
        <f t="array" ref="F8">IF(_FV(Portfolio[[#This Row],[TICKER]],"Currency") = "USD",_FV( Portfolio[[#This Row],[TICKER]],"Price"), "-")</f>
        <v>118.08</v>
      </c>
      <c r="G8" s="20" cm="1">
        <f t="array" ref="G8">IF(_FV(Portfolio[[#This Row],[TICKER]],"Currency") = "USD",_FV( Portfolio[[#This Row],[TICKER]],"Price") * $F$2,_FV( Portfolio[[#This Row],[TICKER]],"Price"))</f>
        <v>149.54867424</v>
      </c>
      <c r="H8" s="20" cm="1">
        <f t="array" ref="H8">IF(_FV(Portfolio[[#This Row],[TICKER]],"Currency") = "USD",_FV( Portfolio[[#This Row],[TICKER]],"Price")*Portfolio[[#This Row],['# SHARES]], "-")</f>
        <v>354.24</v>
      </c>
      <c r="I8" s="20">
        <f>Portfolio[[#This Row],['# SHARES]]*Portfolio[[#This Row],[CURRENT PRICE '[CAD']]]</f>
        <v>448.64602272000002</v>
      </c>
      <c r="J8" s="31">
        <f>(Portfolio[[#This Row],[CURRENT VALUE '[CAD']]]-Portfolio[[#This Row],[COST '[CAD']]])</f>
        <v>2.0897299499999917</v>
      </c>
      <c r="K8" s="32">
        <f>IFERROR( ( Portfolio[[#This Row],[CURRENT VALUE '[CAD']]] / Portfolio[[#This Row],[COST '[CAD']]])-1,0)</f>
        <v>4.6796562579767276E-3</v>
      </c>
      <c r="L8" s="22" t="str">
        <f>_FV(Portfolio[[#This Row],[TICKER]],"Ticker symbol",TRUE)</f>
        <v>AAPL</v>
      </c>
    </row>
    <row r="9" spans="1:13" x14ac:dyDescent="0.3">
      <c r="A9" s="23" t="e" vm="4">
        <v>#VALUE!</v>
      </c>
      <c r="B9" s="24">
        <v>5</v>
      </c>
      <c r="C9" s="25">
        <v>35.619999999999997</v>
      </c>
      <c r="D9" s="25" t="s">
        <v>21</v>
      </c>
      <c r="E9" s="20">
        <f>IF(Portfolio[[#This Row],[CURRENCY]] ="USD", Portfolio[[#This Row],['# SHARES]]*Portfolio[[#This Row],[AVG PRICE]]*$F$2,Portfolio[[#This Row],['# SHARES]]*Portfolio[[#This Row],[AVG PRICE]])</f>
        <v>178.1</v>
      </c>
      <c r="F9" s="21" t="str" cm="1">
        <f t="array" ref="F9">IF(_FV(Portfolio[[#This Row],[TICKER]],"Currency") = "USD",_FV( Portfolio[[#This Row],[TICKER]],"Price"), "-")</f>
        <v>-</v>
      </c>
      <c r="G9" s="20" cm="1">
        <f t="array" ref="G9">IF(_FV(Portfolio[[#This Row],[TICKER]],"Currency") = "USD",_FV( Portfolio[[#This Row],[TICKER]],"Price") * $F$2,_FV( Portfolio[[#This Row],[TICKER]],"Price"))</f>
        <v>38.81</v>
      </c>
      <c r="H9" s="20" t="str" cm="1">
        <f t="array" ref="H9">IF(_FV(Portfolio[[#This Row],[TICKER]],"Currency") = "USD",_FV( Portfolio[[#This Row],[TICKER]],"Price")*Portfolio[[#This Row],['# SHARES]], "-")</f>
        <v>-</v>
      </c>
      <c r="I9" s="20">
        <f>Portfolio[[#This Row],['# SHARES]]*Portfolio[[#This Row],[CURRENT PRICE '[CAD']]]</f>
        <v>194.05</v>
      </c>
      <c r="J9" s="31">
        <f>(Portfolio[[#This Row],[CURRENT VALUE '[CAD']]]-Portfolio[[#This Row],[COST '[CAD']]])</f>
        <v>15.950000000000017</v>
      </c>
      <c r="K9" s="32">
        <f>IFERROR( ( Portfolio[[#This Row],[CURRENT VALUE '[CAD']]] / Portfolio[[#This Row],[COST '[CAD']]])-1,0)</f>
        <v>8.9556428972487501E-2</v>
      </c>
      <c r="L9" s="22" t="str">
        <f>_FV(Portfolio[[#This Row],[TICKER]],"Ticker symbol",TRUE)</f>
        <v>HQU</v>
      </c>
    </row>
    <row r="10" spans="1:13" x14ac:dyDescent="0.3">
      <c r="A10" s="23" t="e" vm="5">
        <v>#VALUE!</v>
      </c>
      <c r="B10" s="24">
        <v>4</v>
      </c>
      <c r="C10" s="25">
        <v>80.27</v>
      </c>
      <c r="D10" s="25" t="s">
        <v>22</v>
      </c>
      <c r="E10" s="20">
        <f>IF(Portfolio[[#This Row],[CURRENCY]] ="USD", Portfolio[[#This Row],['# SHARES]]*Portfolio[[#This Row],[AVG PRICE]]*$F$2,Portfolio[[#This Row],['# SHARES]]*Portfolio[[#This Row],[AVG PRICE]])</f>
        <v>406.64878323999994</v>
      </c>
      <c r="F10" s="21" cm="1">
        <f t="array" ref="F10">IF(_FV(Portfolio[[#This Row],[TICKER]],"Currency") = "USD",_FV( Portfolio[[#This Row],[TICKER]],"Price"), "-")</f>
        <v>86.98</v>
      </c>
      <c r="G10" s="20" cm="1">
        <f t="array" ref="G10">IF(_FV(Portfolio[[#This Row],[TICKER]],"Currency") = "USD",_FV( Portfolio[[#This Row],[TICKER]],"Price") * $F$2,_FV( Portfolio[[#This Row],[TICKER]],"Price"))</f>
        <v>110.16043094</v>
      </c>
      <c r="H10" s="20" cm="1">
        <f t="array" ref="H10">IF(_FV(Portfolio[[#This Row],[TICKER]],"Currency") = "USD",_FV( Portfolio[[#This Row],[TICKER]],"Price")*Portfolio[[#This Row],['# SHARES]], "-")</f>
        <v>347.92</v>
      </c>
      <c r="I10" s="20">
        <f>Portfolio[[#This Row],['# SHARES]]*Portfolio[[#This Row],[CURRENT PRICE '[CAD']]]</f>
        <v>440.64172375999999</v>
      </c>
      <c r="J10" s="31">
        <f>(Portfolio[[#This Row],[CURRENT VALUE '[CAD']]]-Portfolio[[#This Row],[COST '[CAD']]])</f>
        <v>33.992940520000047</v>
      </c>
      <c r="K10" s="32">
        <f>IFERROR( ( Portfolio[[#This Row],[CURRENT VALUE '[CAD']]] / Portfolio[[#This Row],[COST '[CAD']]])-1,0)</f>
        <v>8.359287405008109E-2</v>
      </c>
      <c r="L10" s="22" t="str">
        <f>_FV(Portfolio[[#This Row],[TICKER]],"Ticker symbol",TRUE)</f>
        <v>JD</v>
      </c>
    </row>
    <row r="11" spans="1:13" x14ac:dyDescent="0.3">
      <c r="A11" s="23" t="e" vm="6">
        <v>#VALUE!</v>
      </c>
      <c r="B11" s="24">
        <v>10</v>
      </c>
      <c r="C11" s="25">
        <v>51.94</v>
      </c>
      <c r="D11" s="25" t="s">
        <v>22</v>
      </c>
      <c r="E11" s="20">
        <f>IF(Portfolio[[#This Row],[CURRENCY]] ="USD", Portfolio[[#This Row],['# SHARES]]*Portfolio[[#This Row],[AVG PRICE]]*$F$2,Portfolio[[#This Row],['# SHARES]]*Portfolio[[#This Row],[AVG PRICE]])</f>
        <v>657.82165819999989</v>
      </c>
      <c r="F11" s="21" cm="1">
        <f t="array" ref="F11">IF(_FV(Portfolio[[#This Row],[TICKER]],"Currency") = "USD",_FV( Portfolio[[#This Row],[TICKER]],"Price"), "-")</f>
        <v>55.045000000000002</v>
      </c>
      <c r="G11" s="20" cm="1">
        <f t="array" ref="G11">IF(_FV(Portfolio[[#This Row],[TICKER]],"Currency") = "USD",_FV( Portfolio[[#This Row],[TICKER]],"Price") * $F$2,_FV( Portfolio[[#This Row],[TICKER]],"Price"))</f>
        <v>69.714657634999995</v>
      </c>
      <c r="H11" s="20" cm="1">
        <f t="array" ref="H11">IF(_FV(Portfolio[[#This Row],[TICKER]],"Currency") = "USD",_FV( Portfolio[[#This Row],[TICKER]],"Price")*Portfolio[[#This Row],['# SHARES]], "-")</f>
        <v>550.45000000000005</v>
      </c>
      <c r="I11" s="20">
        <f>Portfolio[[#This Row],['# SHARES]]*Portfolio[[#This Row],[CURRENT PRICE '[CAD']]]</f>
        <v>697.14657634999992</v>
      </c>
      <c r="J11" s="31">
        <f>(Portfolio[[#This Row],[CURRENT VALUE '[CAD']]]-Portfolio[[#This Row],[COST '[CAD']]])</f>
        <v>39.32491815000003</v>
      </c>
      <c r="K11" s="32">
        <f>IFERROR( ( Portfolio[[#This Row],[CURRENT VALUE '[CAD']]] / Portfolio[[#This Row],[COST '[CAD']]])-1,0)</f>
        <v>5.9780515979976911E-2</v>
      </c>
      <c r="L11" s="22" t="str">
        <f>_FV(Portfolio[[#This Row],[TICKER]],"Ticker symbol",TRUE)</f>
        <v>SNAP</v>
      </c>
    </row>
    <row r="12" spans="1:13" x14ac:dyDescent="0.3">
      <c r="A12" s="23" t="e" vm="7">
        <v>#VALUE!</v>
      </c>
      <c r="B12" s="24">
        <v>22</v>
      </c>
      <c r="C12" s="25">
        <v>21.59</v>
      </c>
      <c r="D12" s="25" t="s">
        <v>22</v>
      </c>
      <c r="E12" s="20">
        <f>IF(Portfolio[[#This Row],[CURRENCY]] ="USD", Portfolio[[#This Row],['# SHARES]]*Portfolio[[#This Row],[AVG PRICE]]*$F$2,Portfolio[[#This Row],['# SHARES]]*Portfolio[[#This Row],[AVG PRICE]])</f>
        <v>601.56359494000003</v>
      </c>
      <c r="F12" s="21" cm="1">
        <f t="array" ref="F12">IF(_FV(Portfolio[[#This Row],[TICKER]],"Currency") = "USD",_FV( Portfolio[[#This Row],[TICKER]],"Price"), "-")</f>
        <v>23.715</v>
      </c>
      <c r="G12" s="20" cm="1">
        <f t="array" ref="G12">IF(_FV(Portfolio[[#This Row],[TICKER]],"Currency") = "USD",_FV( Portfolio[[#This Row],[TICKER]],"Price") * $F$2,_FV( Portfolio[[#This Row],[TICKER]],"Price"))</f>
        <v>30.035118644999997</v>
      </c>
      <c r="H12" s="20" cm="1">
        <f t="array" ref="H12">IF(_FV(Portfolio[[#This Row],[TICKER]],"Currency") = "USD",_FV( Portfolio[[#This Row],[TICKER]],"Price")*Portfolio[[#This Row],['# SHARES]], "-")</f>
        <v>521.73</v>
      </c>
      <c r="I12" s="20">
        <f>Portfolio[[#This Row],['# SHARES]]*Portfolio[[#This Row],[CURRENT PRICE '[CAD']]]</f>
        <v>660.77261018999991</v>
      </c>
      <c r="J12" s="31">
        <f>(Portfolio[[#This Row],[CURRENT VALUE '[CAD']]]-Portfolio[[#This Row],[COST '[CAD']]])</f>
        <v>59.209015249999879</v>
      </c>
      <c r="K12" s="32">
        <f>IFERROR( ( Portfolio[[#This Row],[CURRENT VALUE '[CAD']]] / Portfolio[[#This Row],[COST '[CAD']]])-1,0)</f>
        <v>9.8425196850393526E-2</v>
      </c>
      <c r="L12" s="22" t="str">
        <f>_FV(Portfolio[[#This Row],[TICKER]],"Ticker symbol",TRUE)</f>
        <v>PLTR</v>
      </c>
    </row>
  </sheetData>
  <dataConsolidate/>
  <mergeCells count="6">
    <mergeCell ref="F1:G1"/>
    <mergeCell ref="F2:G3"/>
    <mergeCell ref="A2:A3"/>
    <mergeCell ref="B2:B3"/>
    <mergeCell ref="C2:C3"/>
    <mergeCell ref="D2:D3"/>
  </mergeCells>
  <phoneticPr fontId="1" type="noConversion"/>
  <conditionalFormatting sqref="C2">
    <cfRule type="cellIs" dxfId="37" priority="13" operator="lessThan">
      <formula>0</formula>
    </cfRule>
    <cfRule type="cellIs" dxfId="36" priority="14" operator="greaterThan">
      <formula>0</formula>
    </cfRule>
  </conditionalFormatting>
  <conditionalFormatting sqref="J6:J12">
    <cfRule type="cellIs" dxfId="35" priority="9" operator="lessThan">
      <formula>0</formula>
    </cfRule>
    <cfRule type="cellIs" dxfId="34" priority="10" operator="greaterThan">
      <formula>0</formula>
    </cfRule>
  </conditionalFormatting>
  <conditionalFormatting sqref="K6:K12">
    <cfRule type="cellIs" dxfId="33" priority="1" operator="lessThan">
      <formula>0</formula>
    </cfRule>
    <cfRule type="cellIs" dxfId="32" priority="2" operator="greaterThan">
      <formula>0</formula>
    </cfRule>
  </conditionalFormatting>
  <dataValidations count="1">
    <dataValidation type="list" allowBlank="1" showInputMessage="1" showErrorMessage="1" sqref="D6:D12" xr:uid="{C61D212C-744F-49FC-8558-1BF55577827A}">
      <formula1>"CAD,USD"</formula1>
    </dataValidation>
  </dataValidations>
  <pageMargins left="0.7" right="0.7" top="0.75" bottom="0.75" header="0.3" footer="0.3"/>
  <pageSetup orientation="portrait" horizontalDpi="4294967293"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81C12-A999-4761-AC3E-CF3B5028A017}">
  <sheetPr codeName="Sheet4">
    <tabColor theme="3"/>
  </sheetPr>
  <dimension ref="A3:K9"/>
  <sheetViews>
    <sheetView zoomScale="85" zoomScaleNormal="85" workbookViewId="0">
      <selection activeCell="A6" sqref="A6"/>
    </sheetView>
  </sheetViews>
  <sheetFormatPr defaultRowHeight="14.4" x14ac:dyDescent="0.3"/>
  <cols>
    <col min="1" max="1" width="51" style="26" customWidth="1"/>
    <col min="2" max="2" width="22.44140625" customWidth="1"/>
    <col min="3" max="3" width="17.77734375" bestFit="1" customWidth="1"/>
    <col min="4" max="4" width="12.44140625" bestFit="1" customWidth="1"/>
    <col min="5" max="5" width="12.5546875" bestFit="1" customWidth="1"/>
    <col min="6" max="6" width="25.6640625" bestFit="1" customWidth="1"/>
    <col min="7" max="7" width="22.6640625" bestFit="1" customWidth="1"/>
    <col min="8" max="8" width="21.33203125" bestFit="1" customWidth="1"/>
    <col min="9" max="9" width="26.109375" customWidth="1"/>
    <col min="10" max="10" width="19.33203125" customWidth="1"/>
    <col min="11" max="11" width="22.21875" bestFit="1" customWidth="1"/>
  </cols>
  <sheetData>
    <row r="3" spans="1:11" ht="35.4" customHeight="1" x14ac:dyDescent="0.3">
      <c r="A3" s="9" t="s">
        <v>0</v>
      </c>
      <c r="B3" s="3" t="s">
        <v>45</v>
      </c>
      <c r="C3" s="6" t="s">
        <v>19</v>
      </c>
      <c r="D3" s="6" t="s">
        <v>41</v>
      </c>
      <c r="E3" s="6" t="s">
        <v>46</v>
      </c>
      <c r="F3" s="6" t="s">
        <v>47</v>
      </c>
      <c r="G3" s="6" t="s">
        <v>51</v>
      </c>
      <c r="H3" s="6" t="s">
        <v>44</v>
      </c>
      <c r="I3" s="6" t="s">
        <v>43</v>
      </c>
      <c r="J3" s="6" t="s">
        <v>42</v>
      </c>
      <c r="K3" s="6" t="s">
        <v>40</v>
      </c>
    </row>
    <row r="4" spans="1:11" x14ac:dyDescent="0.3">
      <c r="A4" s="15" t="e" vm="6">
        <v>#VALUE!</v>
      </c>
      <c r="B4" s="14" t="s">
        <v>48</v>
      </c>
      <c r="C4" s="27" t="str" cm="1">
        <f t="array" ref="C4">_FV(A4,"Currency")</f>
        <v>USD</v>
      </c>
      <c r="D4" s="28" cm="1">
        <f t="array" ref="D4">_FV(A4,"Change (%)",TRUE)</f>
        <v>-4.1528999999999996E-2</v>
      </c>
      <c r="E4" s="29" cm="1">
        <f t="array" ref="E4">_FV(A4,"Price")</f>
        <v>55.045000000000002</v>
      </c>
      <c r="F4" s="29" cm="1">
        <f t="array" ref="F4">_FV(A4,"Previous close",TRUE)</f>
        <v>57.43</v>
      </c>
      <c r="G4" s="29" cm="1">
        <f t="array" ref="G4">_FV(A4,"52 week high",TRUE)</f>
        <v>73.59</v>
      </c>
      <c r="H4" s="29" cm="1">
        <f t="array" ref="H4">_FV(A4,"52 week low",TRUE)</f>
        <v>7.89</v>
      </c>
      <c r="I4" s="29" cm="1">
        <f t="array" ref="I4">_FV(A4,"Market cap",TRUE)</f>
        <v>86621900000</v>
      </c>
      <c r="J4" s="30" cm="1">
        <f t="array" ref="J4">_FV(A4,"Volume")</f>
        <v>9027042</v>
      </c>
      <c r="K4" s="30" cm="1">
        <f t="array" ref="K4">_FV(A4,"Volume average",TRUE)</f>
        <v>26479144</v>
      </c>
    </row>
    <row r="5" spans="1:11" x14ac:dyDescent="0.3">
      <c r="A5" s="15" t="e" vm="8">
        <v>#VALUE!</v>
      </c>
      <c r="B5" s="14" t="s">
        <v>48</v>
      </c>
      <c r="C5" s="27" t="str" cm="1">
        <f t="array" ref="C5">_FV(A5,"Currency")</f>
        <v>USD</v>
      </c>
      <c r="D5" s="28" cm="1">
        <f t="array" ref="D5">_FV(A5,"Change (%)",TRUE)</f>
        <v>2.4985E-2</v>
      </c>
      <c r="E5" s="29" cm="1">
        <f t="array" ref="E5">_FV(A5,"Price")</f>
        <v>66.459999999999994</v>
      </c>
      <c r="F5" s="29" cm="1">
        <f t="array" ref="F5">_FV(A5,"Previous close",TRUE)</f>
        <v>64.84</v>
      </c>
      <c r="G5" s="29" cm="1">
        <f t="array" ref="G5">_FV(A5,"52 week high",TRUE)</f>
        <v>136.5</v>
      </c>
      <c r="H5" s="29" cm="1">
        <f t="array" ref="H5">_FV(A5,"52 week low",TRUE)</f>
        <v>10.63</v>
      </c>
      <c r="I5" s="29" cm="1">
        <f t="array" ref="I5">_FV(A5,"Market cap",TRUE)</f>
        <v>7430664000</v>
      </c>
      <c r="J5" s="30" cm="1">
        <f t="array" ref="J5">_FV(A5,"Volume")</f>
        <v>2680432</v>
      </c>
      <c r="K5" s="30" cm="1">
        <f t="array" ref="K5">_FV(A5,"Volume average",TRUE)</f>
        <v>5694501</v>
      </c>
    </row>
    <row r="6" spans="1:11" x14ac:dyDescent="0.3">
      <c r="A6" s="15" t="e" vm="1">
        <v>#VALUE!</v>
      </c>
      <c r="B6" s="14" t="s">
        <v>49</v>
      </c>
      <c r="C6" s="27" t="str" cm="1">
        <f t="array" ref="C6">_FV(A6,"Currency")</f>
        <v>USD</v>
      </c>
      <c r="D6" s="28" cm="1">
        <f t="array" ref="D6">_FV(A6,"Change (%)",TRUE)</f>
        <v>-4.1210000000000005E-3</v>
      </c>
      <c r="E6" s="29" cm="1">
        <f t="array" ref="E6">_FV(A6,"Price")</f>
        <v>2099.85</v>
      </c>
      <c r="F6" s="29" cm="1">
        <f t="array" ref="F6">_FV(A6,"Previous close",TRUE)</f>
        <v>2108.54</v>
      </c>
      <c r="G6" s="29" cm="1">
        <f t="array" ref="G6">_FV(A6,"52 week high",TRUE)</f>
        <v>2152.6799999999998</v>
      </c>
      <c r="H6" s="29" cm="1">
        <f t="array" ref="H6">_FV(A6,"52 week low",TRUE)</f>
        <v>1013.5361</v>
      </c>
      <c r="I6" s="29" cm="1">
        <f t="array" ref="I6">_FV(A6,"Market cap",TRUE)</f>
        <v>1417469000000</v>
      </c>
      <c r="J6" s="30" cm="1">
        <f t="array" ref="J6">_FV(A6,"Volume")</f>
        <v>596635</v>
      </c>
      <c r="K6" s="30" cm="1">
        <f t="array" ref="K6">_FV(A6,"Volume average",TRUE)</f>
        <v>1575207</v>
      </c>
    </row>
    <row r="7" spans="1:11" x14ac:dyDescent="0.3">
      <c r="A7" s="15" t="e" vm="3">
        <v>#VALUE!</v>
      </c>
      <c r="B7" s="14" t="s">
        <v>50</v>
      </c>
      <c r="C7" s="27" t="str" cm="1">
        <f t="array" ref="C7">_FV(A7,"Currency")</f>
        <v>USD</v>
      </c>
      <c r="D7" s="28" cm="1">
        <f t="array" ref="D7">_FV(A7,"Change (%)",TRUE)</f>
        <v>-2.7507999999999998E-2</v>
      </c>
      <c r="E7" s="29" cm="1">
        <f t="array" ref="E7">_FV(A7,"Price")</f>
        <v>118.08</v>
      </c>
      <c r="F7" s="29" cm="1">
        <f t="array" ref="F7">_FV(A7,"Previous close",TRUE)</f>
        <v>121.42</v>
      </c>
      <c r="G7" s="29" cm="1">
        <f t="array" ref="G7">_FV(A7,"52 week high",TRUE)</f>
        <v>145.09</v>
      </c>
      <c r="H7" s="29" cm="1">
        <f t="array" ref="H7">_FV(A7,"52 week low",TRUE)</f>
        <v>53.152500000000003</v>
      </c>
      <c r="I7" s="29" cm="1">
        <f t="array" ref="I7">_FV(A7,"Market cap",TRUE)</f>
        <v>2038411000000</v>
      </c>
      <c r="J7" s="30" cm="1">
        <f t="array" ref="J7">_FV(A7,"Volume")</f>
        <v>61461902</v>
      </c>
      <c r="K7" s="30" cm="1">
        <f t="array" ref="K7">_FV(A7,"Volume average",TRUE)</f>
        <v>107000126</v>
      </c>
    </row>
    <row r="8" spans="1:11" x14ac:dyDescent="0.3">
      <c r="A8" s="15" t="e" vm="9">
        <v>#VALUE!</v>
      </c>
      <c r="B8" s="14" t="s">
        <v>50</v>
      </c>
      <c r="C8" s="27" t="str" cm="1">
        <f t="array" ref="C8">_FV(A8,"Currency")</f>
        <v>USD</v>
      </c>
      <c r="D8" s="28" cm="1">
        <f t="array" ref="D8">_FV(A8,"Change (%)",TRUE)</f>
        <v>-2.1650999999999997E-2</v>
      </c>
      <c r="E8" s="29" cm="1">
        <f t="array" ref="E8">_FV(A8,"Price")</f>
        <v>76.819999999999993</v>
      </c>
      <c r="F8" s="29" cm="1">
        <f t="array" ref="F8">_FV(A8,"Previous close",TRUE)</f>
        <v>78.52</v>
      </c>
      <c r="G8" s="29" cm="1">
        <f t="array" ref="G8">_FV(A8,"52 week high",TRUE)</f>
        <v>99.23</v>
      </c>
      <c r="H8" s="29" cm="1">
        <f t="array" ref="H8">_FV(A8,"52 week low",TRUE)</f>
        <v>36.75</v>
      </c>
      <c r="I8" s="29" cm="1">
        <f t="array" ref="I8">_FV(A8,"Market cap",TRUE)</f>
        <v>94436910000</v>
      </c>
      <c r="J8" s="30" cm="1">
        <f t="array" ref="J8">_FV(A8,"Volume")</f>
        <v>20338151</v>
      </c>
      <c r="K8" s="30" cm="1">
        <f t="array" ref="K8">_FV(A8,"Volume average",TRUE)</f>
        <v>40877704</v>
      </c>
    </row>
    <row r="9" spans="1:11" x14ac:dyDescent="0.3">
      <c r="A9" s="15" t="e" vm="10">
        <v>#VALUE!</v>
      </c>
      <c r="B9" s="14" t="s">
        <v>49</v>
      </c>
      <c r="C9" s="27" t="str" cm="1">
        <f t="array" ref="C9">_FV(A9,"Currency")</f>
        <v>USD</v>
      </c>
      <c r="D9" s="28" cm="1">
        <f t="array" ref="D9">_FV(A9,"Change (%)",TRUE)</f>
        <v>7.4239999999999992E-3</v>
      </c>
      <c r="E9" s="29" cm="1">
        <f t="array" ref="E9">_FV(A9,"Price")</f>
        <v>35.703099999999999</v>
      </c>
      <c r="F9" s="29" cm="1">
        <f t="array" ref="F9">_FV(A9,"Previous close",TRUE)</f>
        <v>35.44</v>
      </c>
      <c r="G9" s="29" cm="1">
        <f t="array" ref="G9">_FV(A9,"52 week high",TRUE)</f>
        <v>36.148299999999999</v>
      </c>
      <c r="H9" s="29" cm="1">
        <f t="array" ref="H9">_FV(A9,"52 week low",TRUE)</f>
        <v>22.57</v>
      </c>
      <c r="I9" s="29" cm="1">
        <f t="array" ref="I9">_FV(A9,"Market cap",TRUE)</f>
        <v>90802970000</v>
      </c>
      <c r="J9" s="30" cm="1">
        <f t="array" ref="J9">_FV(A9,"Volume")</f>
        <v>1535757</v>
      </c>
      <c r="K9" s="30" cm="1">
        <f t="array" ref="K9">_FV(A9,"Volume average",TRUE)</f>
        <v>5987523</v>
      </c>
    </row>
  </sheetData>
  <conditionalFormatting sqref="D4">
    <cfRule type="cellIs" dxfId="17" priority="3" operator="greaterThan">
      <formula>0</formula>
    </cfRule>
    <cfRule type="cellIs" dxfId="16" priority="4" operator="lessThan">
      <formula>0</formula>
    </cfRule>
  </conditionalFormatting>
  <conditionalFormatting sqref="D5:D9">
    <cfRule type="cellIs" dxfId="15" priority="1" operator="greaterThan">
      <formula>0</formula>
    </cfRule>
    <cfRule type="cellIs" dxfId="14" priority="2" operator="lessThan">
      <formula>0</formula>
    </cfRule>
  </conditionalFormatting>
  <pageMargins left="0.7" right="0.7" top="0.75" bottom="0.75" header="0.3" footer="0.3"/>
  <pageSetup orientation="portrait" horizontalDpi="4294967293"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923D3-CC9F-4104-B788-8C1B894F50C5}">
  <sheetPr codeName="Sheet5">
    <tabColor theme="1"/>
  </sheetPr>
  <dimension ref="A1:C13"/>
  <sheetViews>
    <sheetView workbookViewId="0">
      <selection activeCell="G23" sqref="G23"/>
    </sheetView>
  </sheetViews>
  <sheetFormatPr defaultRowHeight="14.4" x14ac:dyDescent="0.3"/>
  <cols>
    <col min="1" max="1" width="20" bestFit="1" customWidth="1"/>
    <col min="2" max="2" width="10.77734375" bestFit="1" customWidth="1"/>
    <col min="3" max="3" width="14.33203125" bestFit="1" customWidth="1"/>
  </cols>
  <sheetData>
    <row r="1" spans="1:3" x14ac:dyDescent="0.3">
      <c r="A1" s="39" t="s">
        <v>37</v>
      </c>
      <c r="B1" s="39"/>
      <c r="C1" s="39"/>
    </row>
    <row r="2" spans="1:3" x14ac:dyDescent="0.3">
      <c r="A2" s="39"/>
      <c r="B2" s="39"/>
      <c r="C2" s="39"/>
    </row>
    <row r="3" spans="1:3" x14ac:dyDescent="0.3">
      <c r="A3" t="s">
        <v>24</v>
      </c>
      <c r="B3" t="s">
        <v>25</v>
      </c>
      <c r="C3" t="s">
        <v>26</v>
      </c>
    </row>
    <row r="4" spans="1:3" x14ac:dyDescent="0.3">
      <c r="A4" s="12" t="s">
        <v>27</v>
      </c>
      <c r="B4">
        <v>0.78957600000000006</v>
      </c>
      <c r="C4">
        <v>1.2665029999999999</v>
      </c>
    </row>
    <row r="5" spans="1:3" x14ac:dyDescent="0.3">
      <c r="A5" s="12" t="s">
        <v>28</v>
      </c>
      <c r="B5">
        <v>0.66585799999999995</v>
      </c>
      <c r="C5">
        <v>1.5018210000000001</v>
      </c>
    </row>
    <row r="6" spans="1:3" x14ac:dyDescent="0.3">
      <c r="A6" s="12" t="s">
        <v>29</v>
      </c>
      <c r="B6">
        <v>0.57164199999999998</v>
      </c>
      <c r="C6">
        <v>1.749347</v>
      </c>
    </row>
    <row r="7" spans="1:3" x14ac:dyDescent="0.3">
      <c r="A7" s="12" t="s">
        <v>30</v>
      </c>
      <c r="B7">
        <v>57.914378999999997</v>
      </c>
      <c r="C7">
        <v>1.7267000000000001E-2</v>
      </c>
    </row>
    <row r="8" spans="1:3" x14ac:dyDescent="0.3">
      <c r="A8" s="12" t="s">
        <v>31</v>
      </c>
      <c r="B8">
        <v>1.029525</v>
      </c>
      <c r="C8">
        <v>0.97132200000000002</v>
      </c>
    </row>
    <row r="9" spans="1:3" x14ac:dyDescent="0.3">
      <c r="A9" s="12" t="s">
        <v>32</v>
      </c>
      <c r="B9">
        <v>1.065472</v>
      </c>
      <c r="C9">
        <v>0.93855100000000002</v>
      </c>
    </row>
    <row r="10" spans="1:3" x14ac:dyDescent="0.3">
      <c r="A10" s="12" t="s">
        <v>33</v>
      </c>
      <c r="B10">
        <v>0.73889700000000003</v>
      </c>
      <c r="C10">
        <v>1.353369</v>
      </c>
    </row>
    <row r="11" spans="1:3" x14ac:dyDescent="0.3">
      <c r="A11" s="12" t="s">
        <v>34</v>
      </c>
      <c r="B11">
        <v>3.241355</v>
      </c>
      <c r="C11">
        <v>0.30851299999999998</v>
      </c>
    </row>
    <row r="12" spans="1:3" x14ac:dyDescent="0.3">
      <c r="A12" s="12" t="s">
        <v>35</v>
      </c>
      <c r="B12">
        <v>85.952830000000006</v>
      </c>
      <c r="C12">
        <v>1.1634E-2</v>
      </c>
    </row>
    <row r="13" spans="1:3" x14ac:dyDescent="0.3">
      <c r="A13" s="12" t="s">
        <v>36</v>
      </c>
      <c r="B13">
        <v>5.1527710000000004</v>
      </c>
      <c r="C13">
        <v>0.19406999999999999</v>
      </c>
    </row>
  </sheetData>
  <mergeCells count="1">
    <mergeCell ref="A1:C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5BD5E-2F95-49E4-AA40-D2C46AAB78DB}">
  <sheetPr codeName="Sheet3"/>
  <dimension ref="A1:C4"/>
  <sheetViews>
    <sheetView workbookViewId="0">
      <selection activeCell="E5" sqref="E5"/>
    </sheetView>
  </sheetViews>
  <sheetFormatPr defaultRowHeight="14.4" x14ac:dyDescent="0.3"/>
  <cols>
    <col min="1" max="1" width="23.33203125" bestFit="1" customWidth="1"/>
    <col min="2" max="2" width="20" customWidth="1"/>
  </cols>
  <sheetData>
    <row r="1" spans="1:3" ht="15" x14ac:dyDescent="0.35">
      <c r="A1" s="2" t="s">
        <v>11</v>
      </c>
      <c r="B1" s="7" t="e" vm="11">
        <v>#VALUE!</v>
      </c>
    </row>
    <row r="2" spans="1:3" ht="15" x14ac:dyDescent="0.35">
      <c r="A2" s="2" t="s">
        <v>14</v>
      </c>
      <c r="B2" s="8" t="s">
        <v>16</v>
      </c>
      <c r="C2">
        <f>IF(B4="Daily", 0, IF(B4 = "Weekly", 1, 2))</f>
        <v>1</v>
      </c>
    </row>
    <row r="3" spans="1:3" ht="15" x14ac:dyDescent="0.35">
      <c r="A3" s="2" t="s">
        <v>15</v>
      </c>
      <c r="B3" s="8" t="s">
        <v>17</v>
      </c>
      <c r="C3" t="e" cm="1">
        <f t="array" aca="1" ref="C3" ca="1">STOCKHISTORY("MSFT",B2,B3,C2,1,0,1,2,3,4)</f>
        <v>#NAME?</v>
      </c>
    </row>
    <row r="4" spans="1:3" ht="15" x14ac:dyDescent="0.35">
      <c r="A4" s="2" t="s">
        <v>12</v>
      </c>
      <c r="B4" s="8" t="s">
        <v>13</v>
      </c>
    </row>
  </sheetData>
  <dataValidations count="1">
    <dataValidation type="list" showInputMessage="1" showErrorMessage="1" sqref="B4" xr:uid="{A36E2DBE-C19E-41CE-8CB7-25538F0DA0EB}">
      <formula1>"Daily,Weekly,Monthly"</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B4D9E27-938F-4652-B930-278298B288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Portfolio</vt:lpstr>
      <vt:lpstr>Watchlist</vt:lpstr>
      <vt:lpstr>Backend</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Usman</dc:creator>
  <cp:lastModifiedBy>Usman</cp:lastModifiedBy>
  <dcterms:created xsi:type="dcterms:W3CDTF">2021-03-06T02:47:01Z</dcterms:created>
  <dcterms:modified xsi:type="dcterms:W3CDTF">2021-03-08T16:39:34Z</dcterms:modified>
</cp:coreProperties>
</file>